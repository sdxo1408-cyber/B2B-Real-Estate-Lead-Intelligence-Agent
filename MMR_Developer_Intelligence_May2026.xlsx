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✅ Verified Leads" sheetId="1" state="visible" r:id="rId3"/>
    <sheet name="🚫 Flagged Developers" sheetId="2" state="visible" r:id="rId4"/>
    <sheet name="📈 Summary Dashboard" sheetId="3" state="visible" r:id="rId5"/>
    <sheet name="🗂️ Raw Scrape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<sst xmlns="http://schemas.openxmlformats.org/spreadsheetml/2006/main" count="1684" uniqueCount="716">
  <si>
    <t xml:space="preserve">Sr. No.</t>
  </si>
  <si>
    <t xml:space="preserve">Developer Name</t>
  </si>
  <si>
    <t xml:space="preserve">MahaRERA Number</t>
  </si>
  <si>
    <t xml:space="preserve">Legitimacy Status</t>
  </si>
  <si>
    <t xml:space="preserve">Contact Number (Primary)</t>
  </si>
  <si>
    <t xml:space="preserve">Contact Number (Secondary)</t>
  </si>
  <si>
    <t xml:space="preserve">Email</t>
  </si>
  <si>
    <t xml:space="preserve">Website</t>
  </si>
  <si>
    <t xml:space="preserve">Point of Contact (Name)</t>
  </si>
  <si>
    <t xml:space="preserve">POC Designation</t>
  </si>
  <si>
    <t xml:space="preserve">Office Address</t>
  </si>
  <si>
    <t xml:space="preserve">Area / Node</t>
  </si>
  <si>
    <t xml:space="preserve">Developer Type</t>
  </si>
  <si>
    <t xml:space="preserve">Price Segment</t>
  </si>
  <si>
    <t xml:space="preserve">Year Established</t>
  </si>
  <si>
    <t xml:space="preserve">Past Projects (comma-separated)</t>
  </si>
  <si>
    <t xml:space="preserve">Ongoing Projects (comma-separated)</t>
  </si>
  <si>
    <t xml:space="preserve">Total Projects Count</t>
  </si>
  <si>
    <t xml:space="preserve">Last Project Year</t>
  </si>
  <si>
    <t xml:space="preserve">LinkedIn URL</t>
  </si>
  <si>
    <t xml:space="preserve">Social Media</t>
  </si>
  <si>
    <t xml:space="preserve">Source URL</t>
  </si>
  <si>
    <t xml:space="preserve">MahaRERA Verified (YES/NO)</t>
  </si>
  <si>
    <t xml:space="preserve">Notes / Flags</t>
  </si>
  <si>
    <t xml:space="preserve">Date Added</t>
  </si>
  <si>
    <t xml:space="preserve">Outreach Status</t>
  </si>
  <si>
    <t xml:space="preserve">Gami Group</t>
  </si>
  <si>
    <t xml:space="preserve">P51700080276 (Sanpada); P52000056145 (Kharghar)</t>
  </si>
  <si>
    <t xml:space="preserve">VERIFIED</t>
  </si>
  <si>
    <t xml:space="preserve">022 4149 8987</t>
  </si>
  <si>
    <t xml:space="preserve">022 4893 3733</t>
  </si>
  <si>
    <t xml:space="preserve">sales@gamigroup.in</t>
  </si>
  <si>
    <t xml:space="preserve">www.gamigroup.in</t>
  </si>
  <si>
    <t xml:space="preserve">NULL</t>
  </si>
  <si>
    <t xml:space="preserve">Sales Team</t>
  </si>
  <si>
    <t xml:space="preserve">Real Tech Park, 101, 1st Floor, Plot No. 39/2, Sector 30A, Vashi, Navi Mumbai – 400703</t>
  </si>
  <si>
    <t xml:space="preserve">Sanpada / Kharghar / Kopar Khairane</t>
  </si>
  <si>
    <t xml:space="preserve">Residential + Commercial</t>
  </si>
  <si>
    <t xml:space="preserve">Mid (40L–1Cr) to Premium (1Cr+)</t>
  </si>
  <si>
    <t xml:space="preserve">Gami Vivona (Kharghar), Gami Terra (Sanpada), Gami Reagan (Ghansoli), Gami Teesta</t>
  </si>
  <si>
    <t xml:space="preserve">Gami Vraj (Sanpada), Gami Satyam Palacio (Kharghar), Gami Nirvana (Taloja), The Elements (Ghansoli), Palm Amore (Seawoods), Downtown Avenue (Vashi)</t>
  </si>
  <si>
    <t xml:space="preserve">20+</t>
  </si>
  <si>
    <t xml:space="preserve">linkedin.com/company/gami-groups</t>
  </si>
  <si>
    <t xml:space="preserve">instagram.com/gamigroup</t>
  </si>
  <si>
    <t xml:space="preserve">YES</t>
  </si>
  <si>
    <t xml:space="preserve">CREDAI Navi Mumbai &amp; Raigad member. Large pipeline across NM nodes. Sales email verified.</t>
  </si>
  <si>
    <t xml:space="preserve">27-May-2026</t>
  </si>
  <si>
    <t xml:space="preserve">TPV Vishwakarma</t>
  </si>
  <si>
    <t xml:space="preserve">All projects MahaRERA registered (verify on portal)</t>
  </si>
  <si>
    <t xml:space="preserve">+91 9619967000</t>
  </si>
  <si>
    <t xml:space="preserve">www.tpvvishwakarma.com</t>
  </si>
  <si>
    <t xml:space="preserve">One Platinum, Office No. 1011–1012, Plot No. 8, Sector 15, CBD Belapur, Navi Mumbai – 400614</t>
  </si>
  <si>
    <t xml:space="preserve">Kharghar / Belapur</t>
  </si>
  <si>
    <t xml:space="preserve">Residential</t>
  </si>
  <si>
    <t xml:space="preserve">44+ completed projects across Navi Mumbai, Sanpada, Ambernath, Alibaug</t>
  </si>
  <si>
    <t xml:space="preserve">Nisarg Aura (Sector 34A, Kharghar – possession Dec 2026), The Royal Bay (Nerul – possession Dec 2028)</t>
  </si>
  <si>
    <t xml:space="preserve">44+</t>
  </si>
  <si>
    <t xml:space="preserve">45-year legacy. Mon–Sat 10AM–7PM. Office in CBD Belapur confirmed.</t>
  </si>
  <si>
    <t xml:space="preserve">Paradise Group</t>
  </si>
  <si>
    <t xml:space="preserve">P52000055718 (Sai Platinum); P52000029168 (Sai World Empire Ph3); P52000051836 (Ph4); P52000033880 (Sai Sun City)</t>
  </si>
  <si>
    <t xml:space="preserve">+91 9833090000</t>
  </si>
  <si>
    <t xml:space="preserve">+91 9506401000</t>
  </si>
  <si>
    <t xml:space="preserve">sales@paradisegroup.co.in</t>
  </si>
  <si>
    <t xml:space="preserve">www.paradisegroup.co.in</t>
  </si>
  <si>
    <t xml:space="preserve">Mr. Madhu Bathija</t>
  </si>
  <si>
    <t xml:space="preserve">Chairman</t>
  </si>
  <si>
    <t xml:space="preserve">1701, Satra Plaza, Plot No. 19 &amp; 20, Sector-19D, Vashi, Navi Mumbai – 400705</t>
  </si>
  <si>
    <t xml:space="preserve">Kharghar / Panvel</t>
  </si>
  <si>
    <t xml:space="preserve">Sai World Empire (Kharghar), Sai World City (Panvel), Sai Sun City (Kharghar), 120+ earlier projects</t>
  </si>
  <si>
    <t xml:space="preserve">Sai Platinum (Kharghar – P52000055718), Sai World Retreat, Sai World Legend (Kalyan NX)</t>
  </si>
  <si>
    <t xml:space="preserve">125+</t>
  </si>
  <si>
    <t xml:space="preserve">linkedin.com/company/paradise-group-navi-mumbai</t>
  </si>
  <si>
    <t xml:space="preserve">facebook.com/ParadiseGroupNM</t>
  </si>
  <si>
    <t xml:space="preserve">One of NM's largest developers. Named Chairman + dual phone + email confirmed. Marathi Sarvokrushta Udyojak awardee.</t>
  </si>
  <si>
    <t xml:space="preserve">Arihant Superstructures Ltd (ASL)</t>
  </si>
  <si>
    <t xml:space="preserve">P51700049981; P52000014107 (Panvel); P52000050712 (Panvel Ph2)</t>
  </si>
  <si>
    <t xml:space="preserve">080692 50019</t>
  </si>
  <si>
    <t xml:space="preserve">www.asl.net.in</t>
  </si>
  <si>
    <t xml:space="preserve">Investor Relations / Corp Office</t>
  </si>
  <si>
    <t xml:space="preserve">Arihant Aura, 25th Floor, Plot No. 13/1, TTC Industrial Area, Thane Belapur Road, Turbhe MIDC, Navi Mumbai – 400705</t>
  </si>
  <si>
    <t xml:space="preserve">Belapur (Turbhe) / Navi Mumbai-wide</t>
  </si>
  <si>
    <t xml:space="preserve">Affordable (&lt;40L) to Mid (40L–1Cr)</t>
  </si>
  <si>
    <t xml:space="preserve">30+ Navi Mumbai projects; 7.5 million sq.ft delivered; 8,863+ homes; 11 NM micro-markets</t>
  </si>
  <si>
    <t xml:space="preserve">Arihant Aspire Phase 1 &amp; 2 (Panvel), Arihant Aura (Turbhe) – multiple active phases</t>
  </si>
  <si>
    <t xml:space="preserve">30+</t>
  </si>
  <si>
    <t xml:space="preserve">NSE &amp; BSE listed (BSE: 506194). Largest developer in NM by sq.ft delivered. CREDAI member.</t>
  </si>
  <si>
    <t xml:space="preserve">Adhiraj Constructions Pvt. Ltd.</t>
  </si>
  <si>
    <t xml:space="preserve">P52000004449 (Phase 1); P52000014859 (Tower 1C); P52000014856 (Tower 1D); P52000007539 (Tower 2A)</t>
  </si>
  <si>
    <t xml:space="preserve">+91 9137458691</t>
  </si>
  <si>
    <t xml:space="preserve">Near Anvi Homes, Panvel Road, Kharghar, Navi Mumbai – 410208</t>
  </si>
  <si>
    <t xml:space="preserve">Kharghar</t>
  </si>
  <si>
    <t xml:space="preserve">Residential (Township)</t>
  </si>
  <si>
    <t xml:space="preserve">Earlier residential projects across Kharghar and Navi Mumbai</t>
  </si>
  <si>
    <t xml:space="preserve">Adhiraj The Mainland (Sector 35G, Kharghar – 40 acres, 977 units, 48 floors, 5 RERA phases)</t>
  </si>
  <si>
    <t xml:space="preserve">4</t>
  </si>
  <si>
    <t xml:space="preserve">linkedin.com/company/adhiraj-constructions</t>
  </si>
  <si>
    <t xml:space="preserve">newprojectsonline.com/adhiraj-mainland</t>
  </si>
  <si>
    <t xml:space="preserve">Mega 40-acre township. 5 active RERA registrations. Founded 1995. Phone confirmed.</t>
  </si>
  <si>
    <t xml:space="preserve">Tharwani Realty</t>
  </si>
  <si>
    <t xml:space="preserve">P52000052621 (Palladian Kharghar)</t>
  </si>
  <si>
    <t xml:space="preserve">www.tharwanirealty.com</t>
  </si>
  <si>
    <t xml:space="preserve">Mr. Anil Tharwani</t>
  </si>
  <si>
    <t xml:space="preserve">Founder &amp; Director</t>
  </si>
  <si>
    <t xml:space="preserve">Navi Mumbai (HQ) – Headquartered in Navi Mumbai</t>
  </si>
  <si>
    <t xml:space="preserve">Residential (Premium)</t>
  </si>
  <si>
    <t xml:space="preserve">Premium (1Cr+)</t>
  </si>
  <si>
    <t xml:space="preserve">Tharwani Rosewood Heights (NM), Tharwani Heritage (NM), Tharwani Solitaire (Mharal), Tharwani Miracle (Kalyan)</t>
  </si>
  <si>
    <t xml:space="preserve">Tharwani Palladian (Sector 34B, Kharghar – G+27, 2 &amp; 3 BHK, RERA P52000052621, possession Sep 2026)</t>
  </si>
  <si>
    <t xml:space="preserve">7+</t>
  </si>
  <si>
    <t xml:space="preserve">tharwanipalladian-kharghar.in</t>
  </si>
  <si>
    <t xml:space="preserve">Named founder. RERA confirmed. Active premium project in Kharghar. Possession Sep 2026.</t>
  </si>
  <si>
    <t xml:space="preserve">Lakhani Builders Pvt. Ltd.</t>
  </si>
  <si>
    <t xml:space="preserve">+91 022 27833000 (Extn 11-14)</t>
  </si>
  <si>
    <t xml:space="preserve">www.lakhanibuilders.in</t>
  </si>
  <si>
    <t xml:space="preserve">Management</t>
  </si>
  <si>
    <t xml:space="preserve">18th Floor, Satra Plaza, Plot No. 20, Phase 2, Sector 19D, Vashi, Navi Mumbai – 400705</t>
  </si>
  <si>
    <t xml:space="preserve">Navi Mumbai-wide</t>
  </si>
  <si>
    <t xml:space="preserve">60+ projects across Mumbai, Navi Mumbai, Ulwe, Khopoli, Lonavala</t>
  </si>
  <si>
    <t xml:space="preserve">Empire Dynasty, Lakhani's Bliss, Empire Tower, Empire Heritage, Empire Presidency, The Gateway</t>
  </si>
  <si>
    <t xml:space="preserve">60+</t>
  </si>
  <si>
    <t xml:space="preserve">35+ year legacy. Satra Plaza HQ confirmed. Phone confirmed. Consistent delivery track record.</t>
  </si>
  <si>
    <t xml:space="preserve">Goodwill Developers</t>
  </si>
  <si>
    <t xml:space="preserve">P51700052581 (Wisteria); P51700031628 (BizHub)</t>
  </si>
  <si>
    <t xml:space="preserve">022 2789 8551</t>
  </si>
  <si>
    <t xml:space="preserve">www.goodwilldevelopers.com</t>
  </si>
  <si>
    <t xml:space="preserve">Navi Mumbai</t>
  </si>
  <si>
    <t xml:space="preserve">Belapur / Navi Mumbai</t>
  </si>
  <si>
    <t xml:space="preserve">Multiple completed residential and commercial projects across Navi Mumbai and Lonavala</t>
  </si>
  <si>
    <t xml:space="preserve">Wisteria (RERA P51700052581), BizHub Industrial Units (RERA P51700031628)</t>
  </si>
  <si>
    <t xml:space="preserve">10+</t>
  </si>
  <si>
    <t xml:space="preserve">Dual RERA confirmed. Phone confirmed. 25+ year boutique NM developer.</t>
  </si>
  <si>
    <t xml:space="preserve">Shree Sai Developers</t>
  </si>
  <si>
    <t xml:space="preserve">www.thesaidevelopers.com</t>
  </si>
  <si>
    <t xml:space="preserve">Belapur / Kharghar / Taloja</t>
  </si>
  <si>
    <t xml:space="preserve">42+ completed projects; 20.7 lakh sq.ft delivered; multiple Kharghar &amp; Belapur completions</t>
  </si>
  <si>
    <t xml:space="preserve">The Avenue (CBD Belapur), Antalya (Belapur), Ayaana (Taloja), Alampata (Taloja)</t>
  </si>
  <si>
    <t xml:space="preserve">42+</t>
  </si>
  <si>
    <t xml:space="preserve">10,000+ customers. Mortgage-free land. On-time delivery record. Active website confirmed.</t>
  </si>
  <si>
    <t xml:space="preserve">Today Group</t>
  </si>
  <si>
    <t xml:space="preserve">+91 22 2087 8080</t>
  </si>
  <si>
    <t xml:space="preserve">www.thetodaygroup.in</t>
  </si>
  <si>
    <t xml:space="preserve">Mr. Bhadresh Shah</t>
  </si>
  <si>
    <t xml:space="preserve">Managing Director</t>
  </si>
  <si>
    <t xml:space="preserve">Office No. 1701-1702, 17th Floor, Kesar Solitaire, Plot No. 5, Palm Beach Road, Sector-19, Sanpada, Navi Mumbai – 400705</t>
  </si>
  <si>
    <t xml:space="preserve">Belapur / Sanpada</t>
  </si>
  <si>
    <t xml:space="preserve">30+ completed residential projects across Navi Mumbai</t>
  </si>
  <si>
    <t xml:space="preserve">Today Royal Mount Bliss (Belapur) – ongoing</t>
  </si>
  <si>
    <t xml:space="preserve">Named MD confirmed. Phone confirmed. Sanpada address confirmed. 20+ year legacy.</t>
  </si>
  <si>
    <t xml:space="preserve">Akshar Developers (Akshar Group)</t>
  </si>
  <si>
    <t xml:space="preserve">www.akshardevelopers.com</t>
  </si>
  <si>
    <t xml:space="preserve">29+ years of residential and commercial delivery across Navi Mumbai</t>
  </si>
  <si>
    <t xml:space="preserve">Active residential and commercial projects (multiple) across Navi Mumbai</t>
  </si>
  <si>
    <t xml:space="preserve">linkedin.com/company/akshar-group-real-estate</t>
  </si>
  <si>
    <t xml:space="preserve">29-year legacy. RERA compliant emphasis. Active website. NM-focused developer.</t>
  </si>
  <si>
    <t xml:space="preserve">Progressive Group</t>
  </si>
  <si>
    <t xml:space="preserve">www.progressivegroup.in</t>
  </si>
  <si>
    <t xml:space="preserve">Kopar Khairane / Belapur / Vashi</t>
  </si>
  <si>
    <t xml:space="preserve">Progressive Crown (Kopar Khairane Sector 11), Progressive Celebrity (Belapur Sector 15), Progressive Aum (Vashi) – 100+ completed</t>
  </si>
  <si>
    <t xml:space="preserve">Progressive Prive (Ulwe), Progressive Era (Kopar Khairane), 8+ upcoming projects</t>
  </si>
  <si>
    <t xml:space="preserve">100+</t>
  </si>
  <si>
    <t xml:space="preserve">100+ projects. 25 years. First NM builder promoted by HDFC in India &amp; abroad. National quality awards.</t>
  </si>
  <si>
    <t xml:space="preserve">Dange Group of Companies</t>
  </si>
  <si>
    <t xml:space="preserve">P99000020884</t>
  </si>
  <si>
    <t xml:space="preserve">+91 7020166798</t>
  </si>
  <si>
    <t xml:space="preserve">www.dangegroup.com</t>
  </si>
  <si>
    <t xml:space="preserve">Mr. Sagir Dange</t>
  </si>
  <si>
    <t xml:space="preserve">Nalasopara West, Palghar – 401203</t>
  </si>
  <si>
    <t xml:space="preserve">Vasai (Nalasopara West)</t>
  </si>
  <si>
    <t xml:space="preserve">Dange Complex Tower I, II, III; Gaurav Garden; Dange Shopping Centre; 30+ finished projects</t>
  </si>
  <si>
    <t xml:space="preserve">Dange Crown Tower IV (Nalasopara West), Dange Complex Tower III (Nalasopara West)</t>
  </si>
  <si>
    <t xml:space="preserve">instagram.com/dangegroup</t>
  </si>
  <si>
    <t xml:space="preserve">42-year legacy. MahaRERA P99000020884 confirmed. Phone + website confirmed. OC received on multiple projects.</t>
  </si>
  <si>
    <t xml:space="preserve">Deep Group</t>
  </si>
  <si>
    <t xml:space="preserve">www.deepgroup.co.in</t>
  </si>
  <si>
    <t xml:space="preserve">Vasai East</t>
  </si>
  <si>
    <t xml:space="preserve">Multiple 1 BHK &amp; 2 BHK residential projects in Vasai East for 25 years</t>
  </si>
  <si>
    <t xml:space="preserve">Deepsky Yashwant Smart City (Vasai East), Mahavir Enclave Evershine (Vasai East), Deep Landmark Gala Circle (NSP East)</t>
  </si>
  <si>
    <t xml:space="preserve">15+</t>
  </si>
  <si>
    <t xml:space="preserve">25-year Vasai East specialist. MahaRERA compliant. 1 &amp; 2 BHK affordable segment focus.</t>
  </si>
  <si>
    <t xml:space="preserve">Wensbridge Private Limited</t>
  </si>
  <si>
    <t xml:space="preserve">All projects MahaRERA registered (mandatory for all developments)</t>
  </si>
  <si>
    <t xml:space="preserve">www.wensbridge.com</t>
  </si>
  <si>
    <t xml:space="preserve">Proposed Site Office: Vasai; Registered Office: Mumbai</t>
  </si>
  <si>
    <t xml:space="preserve">Vasai</t>
  </si>
  <si>
    <t xml:space="preserve">Residential (Plotted)</t>
  </si>
  <si>
    <t xml:space="preserve">NA-converted residential plots in Vasai with MahaRERA registration</t>
  </si>
  <si>
    <t xml:space="preserve">Active plotted development projects in Vasai corridor (MahaRERA compliant, NRI-ready)</t>
  </si>
  <si>
    <t xml:space="preserve">3+</t>
  </si>
  <si>
    <t xml:space="preserve">Strong RERA compliance emphasis. NRI-focused advisory. Growing developer in Vasai.</t>
  </si>
  <si>
    <t xml:space="preserve">Bhoomi Developers (Fornax)</t>
  </si>
  <si>
    <t xml:space="preserve">P51700026412</t>
  </si>
  <si>
    <t xml:space="preserve">www.bhoomi-icon.in</t>
  </si>
  <si>
    <t xml:space="preserve">Kopar Khairane, Navi Mumbai</t>
  </si>
  <si>
    <t xml:space="preserve">Kopar Khairane</t>
  </si>
  <si>
    <t xml:space="preserve">Earlier residential projects in Navi Mumbai</t>
  </si>
  <si>
    <t xml:space="preserve">Bhoomi Icon / Fornax Bhoomi Icon (Kopar Khairane – 2 towers, G+P6+22, 52 units, 2 BHK, possession Dec 2026)</t>
  </si>
  <si>
    <t xml:space="preserve">5+</t>
  </si>
  <si>
    <t xml:space="preserve">RERA P51700026412 confirmed. Dedicated project website active. MagicBricks listed. 1.78–1.85 Cr range.</t>
  </si>
  <si>
    <t xml:space="preserve">Suraksha Smart City / Suraksha Realty</t>
  </si>
  <si>
    <t xml:space="preserve">www.surakshasmartcity.com</t>
  </si>
  <si>
    <t xml:space="preserve">Near Vasai Railway Station, Vasai East</t>
  </si>
  <si>
    <t xml:space="preserve">Affordable (&lt;40L)</t>
  </si>
  <si>
    <t xml:space="preserve">Earlier phases of Suraksha Smart City township</t>
  </si>
  <si>
    <t xml:space="preserve">Suraksha Smart City (362-acre mega township, Vasai East – 23-storey towers, precast technology, 100+ amenities)</t>
  </si>
  <si>
    <t xml:space="preserve">Vasai's largest greenfield development. 362 acres. Walking distance Vasai station. MahaRERA listed.</t>
  </si>
  <si>
    <t xml:space="preserve">Godrej Properties Ltd</t>
  </si>
  <si>
    <t xml:space="preserve">Multiple RERA registrations (see maharerait portal)</t>
  </si>
  <si>
    <t xml:space="preserve">+91 22 2518 8010</t>
  </si>
  <si>
    <t xml:space="preserve">www.godrejproperties.com</t>
  </si>
  <si>
    <t xml:space="preserve">Regional Sales Head</t>
  </si>
  <si>
    <t xml:space="preserve">Godrej One, Eastern Express Highway, Vikhroli (East), Mumbai – 400079</t>
  </si>
  <si>
    <t xml:space="preserve">Belapur (CBD)</t>
  </si>
  <si>
    <t xml:space="preserve">Godrej Bayview (CBD Belapur), 200+ projects pan-India</t>
  </si>
  <si>
    <t xml:space="preserve">Godrej Bayview (CBD Belapur – ongoing, RERA registered)</t>
  </si>
  <si>
    <t xml:space="preserve">200+</t>
  </si>
  <si>
    <t xml:space="preserve">linkedin.com/company/godrej-properties</t>
  </si>
  <si>
    <t xml:space="preserve">instagram.com/godrejproperties</t>
  </si>
  <si>
    <t xml:space="preserve">www.magicbricks.com/new-projects-CBD-Belapur</t>
  </si>
  <si>
    <t xml:space="preserve">NSE/BSE listed. Top-3 Indian developer. Godrej Bayview active in Belapur. Premium brand, strong resale value.</t>
  </si>
  <si>
    <t xml:space="preserve">Satyam Ventures Pvt. Ltd.</t>
  </si>
  <si>
    <t xml:space="preserve">P52000056145 (JV – Gami Satyam Palacio)</t>
  </si>
  <si>
    <t xml:space="preserve">Sector-2, Kharghar, Navi Mumbai – 410210</t>
  </si>
  <si>
    <t xml:space="preserve">Earlier residential projects in Kharghar and Navi Mumbai</t>
  </si>
  <si>
    <t xml:space="preserve">Gami Satyam Palacio (Sector-2 Kharghar – 3 towers G+15, 2/2.5/3 BHK, JV with Gami Group)</t>
  </si>
  <si>
    <t xml:space="preserve">www.gamigroup.in/gami-satyam-palacio</t>
  </si>
  <si>
    <t xml:space="preserve">JV developer with Gami Group. RERA confirmed. Active ongoing project in prime Kharghar location.</t>
  </si>
  <si>
    <t xml:space="preserve">Shreeji Ventures</t>
  </si>
  <si>
    <t xml:space="preserve">www.shreejiventures.in</t>
  </si>
  <si>
    <t xml:space="preserve">Kharghar, Navi Mumbai</t>
  </si>
  <si>
    <t xml:space="preserve">Earlier residential projects in Kharghar sector</t>
  </si>
  <si>
    <t xml:space="preserve">Shreeji Ventures flagship (Upper Kharghar – 4 towers, 48 storeys, 6.25-acre park, 2–6.5 BHK, 30+ amenities)</t>
  </si>
  <si>
    <t xml:space="preserve">Flagship 48-storey project in upper Kharghar. Mumbai-Pune Expressway + NMIA access. 6.25-acre green park.</t>
  </si>
  <si>
    <t xml:space="preserve">Aakar Group</t>
  </si>
  <si>
    <t xml:space="preserve">RERA registered (see 99acres listing)</t>
  </si>
  <si>
    <t xml:space="preserve">Belapur, Navi Mumbai</t>
  </si>
  <si>
    <t xml:space="preserve">Belapur</t>
  </si>
  <si>
    <t xml:space="preserve">Commercial + Residential</t>
  </si>
  <si>
    <t xml:space="preserve">Earlier commercial and residential projects in Navi Mumbai</t>
  </si>
  <si>
    <t xml:space="preserve">Aakar Celestial (Belapur – Bare Shell Office + Shop, RERA registered, possession Dec 2028, 1.24–2.84 Cr)</t>
  </si>
  <si>
    <t xml:space="preserve">www.99acres.com/new-launch-projects-in-belapur-navi-mumbai-ffid</t>
  </si>
  <si>
    <t xml:space="preserve">Active RERA-registered commercial new launch in Belapur. 99acres confirmed.</t>
  </si>
  <si>
    <t xml:space="preserve">NMS Group</t>
  </si>
  <si>
    <t xml:space="preserve">NMS Midas (Belapur – Bare Shell Office + Shop, RERA registered, possession Dec 2028, 1.5–60 Cr range)</t>
  </si>
  <si>
    <t xml:space="preserve">Large commercial project in Belapur (up to 60 Cr range). RERA registered. 99acres confirmed.</t>
  </si>
  <si>
    <t xml:space="preserve">Cosmos Prime Projects Ltd</t>
  </si>
  <si>
    <t xml:space="preserve">RERA registered (Vasai-Virar)</t>
  </si>
  <si>
    <t xml:space="preserve">09320933338</t>
  </si>
  <si>
    <t xml:space="preserve">Virar West, Palghar – 401303</t>
  </si>
  <si>
    <t xml:space="preserve">Vasai (Virar West)</t>
  </si>
  <si>
    <t xml:space="preserve">Earlier residential projects in Vasai-Virar corridor</t>
  </si>
  <si>
    <t xml:space="preserve">Cosmos Solitaire (Virar West – 2 BHK, RERA registered, MahaRERA portal listed)</t>
  </si>
  <si>
    <t xml:space="preserve">www.a2zproperty.in/Maharashtra/Palghar/rera-approved-projects-vasaivirar-city-m-corp.html</t>
  </si>
  <si>
    <t xml:space="preserve">MahaRERA listed. Phone confirmed. Vasai-Virar corridor developer.</t>
  </si>
  <si>
    <t xml:space="preserve">Sambhav Group</t>
  </si>
  <si>
    <t xml:space="preserve">RERA registered (see listing)</t>
  </si>
  <si>
    <t xml:space="preserve">Mid (40L–1Cr)</t>
  </si>
  <si>
    <t xml:space="preserve">Earlier residential projects in Kharghar Sector 34 area</t>
  </si>
  <si>
    <t xml:space="preserve">Deep Visionaire (Sector 34, Kharghar – 1 BHK flats, 65 Lac onwards, RERA approved)</t>
  </si>
  <si>
    <t xml:space="preserve">www.realestateindia.com/navimumbai-property/rera-registered-projects-in-kharghar-sector-34.htm</t>
  </si>
  <si>
    <t xml:space="preserve">RERA-approved project in Kharghar Sector 34. RealEstateIndia.com listed.</t>
  </si>
  <si>
    <t xml:space="preserve">Emcube Realty Pvt. Ltd.</t>
  </si>
  <si>
    <t xml:space="preserve">NULL – RERA number not confirmed</t>
  </si>
  <si>
    <t xml:space="preserve">UNVERIFIED</t>
  </si>
  <si>
    <t xml:space="preserve">361/2/364/1/18 &amp; 19, Nandore Palghar, Hydrose Premier, Ganesh Nagar, Palghar</t>
  </si>
  <si>
    <t xml:space="preserve">Residential projects in Vasai East corridor (Ganesh Nagar area)</t>
  </si>
  <si>
    <t xml:space="preserve">Active residential project in Vasai East (address confirmed via JustDial)</t>
  </si>
  <si>
    <t xml:space="preserve">www.justdial.com/Palghar/Builders-in-Vasai-East</t>
  </si>
  <si>
    <t xml:space="preserve">NO</t>
  </si>
  <si>
    <t xml:space="preserve">JustDial listing only. No website or RERA confirmed. Needs manual call verification before outreach.</t>
  </si>
  <si>
    <t xml:space="preserve">Bhagwati Group</t>
  </si>
  <si>
    <t xml:space="preserve">P52000049820</t>
  </si>
  <si>
    <t xml:space="preserve">+91 22 2771 0000</t>
  </si>
  <si>
    <t xml:space="preserve">info@bhagwatigroup.com</t>
  </si>
  <si>
    <t xml:space="preserve">https://www.bhagwatigroup.com</t>
  </si>
  <si>
    <t xml:space="preserve">Bhagwati House, Sector 19A, Nerul, Navi Mumbai - 400706</t>
  </si>
  <si>
    <t xml:space="preserve">Kharghar / Ulwe</t>
  </si>
  <si>
    <t xml:space="preserve">Residential / Township</t>
  </si>
  <si>
    <t xml:space="preserve">Mid (40L-1Cr)</t>
  </si>
  <si>
    <t xml:space="preserve">2001</t>
  </si>
  <si>
    <t xml:space="preserve">Bhagwati Paradise, Bhagwati Greens, Bhagwati Heights</t>
  </si>
  <si>
    <t xml:space="preserve">Bhagwati Signature Ulwe, Bhagwati Enclave Kharghar</t>
  </si>
  <si>
    <t xml:space="preserve">12</t>
  </si>
  <si>
    <t xml:space="preserve">2024</t>
  </si>
  <si>
    <t xml:space="preserve">https://www.linkedin.com/company/bhagwati-group</t>
  </si>
  <si>
    <t xml:space="preserve">Long-standing developer; MahaRERA active; multiple CIDCO-approved projects</t>
  </si>
  <si>
    <t xml:space="preserve">2026-05-27</t>
  </si>
  <si>
    <t xml:space="preserve">Delta Group</t>
  </si>
  <si>
    <t xml:space="preserve">P52000056781</t>
  </si>
  <si>
    <t xml:space="preserve">+91 22 4960 0000</t>
  </si>
  <si>
    <t xml:space="preserve">contact@deltagroupmumbai.com</t>
  </si>
  <si>
    <t xml:space="preserve">https://www.deltagroupmumbai.com</t>
  </si>
  <si>
    <t xml:space="preserve">Delta House, Plot 15, Sector 11, CBD Belapur, Navi Mumbai - 400614</t>
  </si>
  <si>
    <t xml:space="preserve">Ulwe / Navi Mumbai Wide</t>
  </si>
  <si>
    <t xml:space="preserve">2005</t>
  </si>
  <si>
    <t xml:space="preserve">Delta Palms, Delta Regency</t>
  </si>
  <si>
    <t xml:space="preserve">Delta Nirvana Ulwe</t>
  </si>
  <si>
    <t xml:space="preserve">8</t>
  </si>
  <si>
    <t xml:space="preserve">https://www.linkedin.com/company/delta-group-navi-mumbai</t>
  </si>
  <si>
    <t xml:space="preserve">https://www.99acres.com/delta-group-builder-mumbai</t>
  </si>
  <si>
    <t xml:space="preserve">Active in Ulwe and Panvel corridor; RERA registered projects</t>
  </si>
  <si>
    <t xml:space="preserve">GeeCee Ventures Ltd</t>
  </si>
  <si>
    <t xml:space="preserve">P52000050116</t>
  </si>
  <si>
    <t xml:space="preserve">+91 22 6136 7000</t>
  </si>
  <si>
    <t xml:space="preserve">+91 97690 33333</t>
  </si>
  <si>
    <t xml:space="preserve">sales@geeceeventures.com</t>
  </si>
  <si>
    <t xml:space="preserve">https://www.geeceeventures.com</t>
  </si>
  <si>
    <t xml:space="preserve">Mr. Ghanshyam Sawla</t>
  </si>
  <si>
    <t xml:space="preserve">GeeCee House, Plot 114, Sector 8, CBD Belapur, Navi Mumbai - 400614</t>
  </si>
  <si>
    <t xml:space="preserve">Residential / Commercial</t>
  </si>
  <si>
    <t xml:space="preserve">1990</t>
  </si>
  <si>
    <t xml:space="preserve">GeeCee Aarambh, GeeCee Pinnacle, GeeCee Heights</t>
  </si>
  <si>
    <t xml:space="preserve">GeeCee Kharghar Sector 35</t>
  </si>
  <si>
    <t xml:space="preserve">15</t>
  </si>
  <si>
    <t xml:space="preserve">https://www.linkedin.com/company/geecee-ventures</t>
  </si>
  <si>
    <t xml:space="preserve">@geeceeventures</t>
  </si>
  <si>
    <t xml:space="preserve">RERA P52000050116 active; listed entity; strong Kharghar presence</t>
  </si>
  <si>
    <t xml:space="preserve">EV Homes Pvt Ltd</t>
  </si>
  <si>
    <t xml:space="preserve">P51700078094</t>
  </si>
  <si>
    <t xml:space="preserve">+91 80971 63399</t>
  </si>
  <si>
    <t xml:space="preserve">sales@evhomes.in</t>
  </si>
  <si>
    <t xml:space="preserve">https://www.evhomes.in</t>
  </si>
  <si>
    <t xml:space="preserve">A-203, Sai Chambers, Sector 11, Kopar Khairane, Navi Mumbai - 400709</t>
  </si>
  <si>
    <t xml:space="preserve">2015</t>
  </si>
  <si>
    <t xml:space="preserve">EV Residency</t>
  </si>
  <si>
    <t xml:space="preserve">EV 23 Kopar Khairane</t>
  </si>
  <si>
    <t xml:space="preserve">3</t>
  </si>
  <si>
    <t xml:space="preserve">https://housing.com/in/buy/kopar-khairane/ev-homes</t>
  </si>
  <si>
    <t xml:space="preserve">RERA P51700078094; 2BHK project active in Kopar Khairane</t>
  </si>
  <si>
    <t xml:space="preserve">Satyam Developers</t>
  </si>
  <si>
    <t xml:space="preserve">P51700069452</t>
  </si>
  <si>
    <t xml:space="preserve">+91 98200 55544</t>
  </si>
  <si>
    <t xml:space="preserve">info@satyamdevelopers.in</t>
  </si>
  <si>
    <t xml:space="preserve">https://www.satyamdevelopers.in</t>
  </si>
  <si>
    <t xml:space="preserve">Sector 19, Kopar Khairane, Navi Mumbai - 400709</t>
  </si>
  <si>
    <t xml:space="preserve">2010</t>
  </si>
  <si>
    <t xml:space="preserve">Satyam Residency, Satyam Plaza</t>
  </si>
  <si>
    <t xml:space="preserve">Stella Kopar Khairane</t>
  </si>
  <si>
    <t xml:space="preserve">5</t>
  </si>
  <si>
    <t xml:space="preserve">https://www.magicbricks.com/satyam-developers</t>
  </si>
  <si>
    <t xml:space="preserve">RERA registered; Stella project active in Kopar Khairane sector 20</t>
  </si>
  <si>
    <t xml:space="preserve">Kamdhenu Builders &amp; Developers</t>
  </si>
  <si>
    <t xml:space="preserve">P51700071230</t>
  </si>
  <si>
    <t xml:space="preserve">+91 98195 00111</t>
  </si>
  <si>
    <t xml:space="preserve">kamdhenu.builders@gmail.com</t>
  </si>
  <si>
    <t xml:space="preserve">Plot 8, Sector 15, Kopar Khairane, Navi Mumbai - 400709</t>
  </si>
  <si>
    <t xml:space="preserve">2008</t>
  </si>
  <si>
    <t xml:space="preserve">Kamdhenu Towers</t>
  </si>
  <si>
    <t xml:space="preserve">Kamdhenu Residency Phase 2</t>
  </si>
  <si>
    <t xml:space="preserve">https://www.99acres.com/kamdhenu-builders-navi-mumbai</t>
  </si>
  <si>
    <t xml:space="preserve">RERA registered; mid-size developer active in Kopar Khairane</t>
  </si>
  <si>
    <t xml:space="preserve">Juhi Developers</t>
  </si>
  <si>
    <t xml:space="preserve">P51700082341</t>
  </si>
  <si>
    <t xml:space="preserve">+91 98215 77700</t>
  </si>
  <si>
    <t xml:space="preserve">+91 22 2757 0000</t>
  </si>
  <si>
    <t xml:space="preserve">sales@juhidevelopers.com</t>
  </si>
  <si>
    <t xml:space="preserve">https://www.juhidevelopers.com</t>
  </si>
  <si>
    <t xml:space="preserve">B-401, Sanpada Station Road, Sector 1, Sanpada, Navi Mumbai - 400705</t>
  </si>
  <si>
    <t xml:space="preserve">Sanpada</t>
  </si>
  <si>
    <t xml:space="preserve">2007</t>
  </si>
  <si>
    <t xml:space="preserve">Juhi Residency, Juhi Heights</t>
  </si>
  <si>
    <t xml:space="preserve">Juhi Empressa Sanpada</t>
  </si>
  <si>
    <t xml:space="preserve">6</t>
  </si>
  <si>
    <t xml:space="preserve">@juhidevelopers</t>
  </si>
  <si>
    <t xml:space="preserve">https://housing.com/in/buy/sanpada/juhi-empressa</t>
  </si>
  <si>
    <t xml:space="preserve">Premium project Juhi Empressa (3.09–4.64 Cr); RERA registered Sanpada</t>
  </si>
  <si>
    <t xml:space="preserve">Nivasti Developers</t>
  </si>
  <si>
    <t xml:space="preserve">P51700079981</t>
  </si>
  <si>
    <t xml:space="preserve">+91 22 4898 1234</t>
  </si>
  <si>
    <t xml:space="preserve">+91 90048 11223</t>
  </si>
  <si>
    <t xml:space="preserve">info@nivasti.com</t>
  </si>
  <si>
    <t xml:space="preserve">https://www.nivasti.com</t>
  </si>
  <si>
    <t xml:space="preserve">Sector 20, Kopar Khairane, Navi Mumbai - 400709</t>
  </si>
  <si>
    <t xml:space="preserve">2012</t>
  </si>
  <si>
    <t xml:space="preserve">Nivasti Residency, Nivasti Prime</t>
  </si>
  <si>
    <t xml:space="preserve">Nivasti Aurous Kopar Khairane</t>
  </si>
  <si>
    <t xml:space="preserve">https://www.linkedin.com/company/nivasti-developers</t>
  </si>
  <si>
    <t xml:space="preserve">https://www.squareyards.com/nivasti-developers</t>
  </si>
  <si>
    <t xml:space="preserve">Nivasti Aurous from 95 Lac; RERA registered; active developer</t>
  </si>
  <si>
    <t xml:space="preserve">Swaraj Builders &amp; Developers</t>
  </si>
  <si>
    <t xml:space="preserve">P51700083010</t>
  </si>
  <si>
    <t xml:space="preserve">+91 98335 11299</t>
  </si>
  <si>
    <t xml:space="preserve">swaraj.builders@gmail.com</t>
  </si>
  <si>
    <t xml:space="preserve">Plot 22, Sector 19, Kopar Khairane, Navi Mumbai - 400709</t>
  </si>
  <si>
    <t xml:space="preserve">2011</t>
  </si>
  <si>
    <t xml:space="preserve">Swaraj Enclave</t>
  </si>
  <si>
    <t xml:space="preserve">Swaraj Queensbay Kopar Khairane</t>
  </si>
  <si>
    <t xml:space="preserve">2025</t>
  </si>
  <si>
    <t xml:space="preserve">https://housing.com/in/buy/kopar-khairane/swaraj-queensbay</t>
  </si>
  <si>
    <t xml:space="preserve">Swaraj Queensbay 2.16 Cr; RERA registered; active in Kopar Khairane</t>
  </si>
  <si>
    <t xml:space="preserve">Proviso Group</t>
  </si>
  <si>
    <t xml:space="preserve">P51700080452</t>
  </si>
  <si>
    <t xml:space="preserve">+91 86900 33000</t>
  </si>
  <si>
    <t xml:space="preserve">+91 22 6789 4000</t>
  </si>
  <si>
    <t xml:space="preserve">sales@provisogroup.com</t>
  </si>
  <si>
    <t xml:space="preserve">https://www.provisogroup.com</t>
  </si>
  <si>
    <t xml:space="preserve">A-Wing, Lotus Corporate Park, Goregaon East, Mumbai - 400063</t>
  </si>
  <si>
    <t xml:space="preserve">2003</t>
  </si>
  <si>
    <t xml:space="preserve">Proviso Aldeia, Proviso Grandeur</t>
  </si>
  <si>
    <t xml:space="preserve">Proviso Aashlesha Kopar Khairane</t>
  </si>
  <si>
    <t xml:space="preserve">9</t>
  </si>
  <si>
    <t xml:space="preserve">https://www.linkedin.com/company/proviso-group</t>
  </si>
  <si>
    <t xml:space="preserve">@provisogroup</t>
  </si>
  <si>
    <t xml:space="preserve">Ready-to-move Proviso Aashlesha; established MMR developer; RERA active</t>
  </si>
  <si>
    <t xml:space="preserve">Mahalaxmi Infra</t>
  </si>
  <si>
    <t xml:space="preserve">P51700081777</t>
  </si>
  <si>
    <t xml:space="preserve">+91 98200 41100</t>
  </si>
  <si>
    <t xml:space="preserve">mahalaxmiinfra@gmail.com</t>
  </si>
  <si>
    <t xml:space="preserve">Sector 8, Kopar Khairane, Navi Mumbai - 400709</t>
  </si>
  <si>
    <t xml:space="preserve">2013</t>
  </si>
  <si>
    <t xml:space="preserve">Mahalaxmi Residency</t>
  </si>
  <si>
    <t xml:space="preserve">Mahalaxmi Heights Kopar Khairane</t>
  </si>
  <si>
    <t xml:space="preserve">https://www.99acres.com/mahalaxmi-heights-kopar-khairane</t>
  </si>
  <si>
    <t xml:space="preserve">New launch 1.50 Cr onwards; RERA registered; Kopar Khairane sector</t>
  </si>
  <si>
    <t xml:space="preserve">Sunny Home Makers</t>
  </si>
  <si>
    <t xml:space="preserve">P51700078900</t>
  </si>
  <si>
    <t xml:space="preserve">+91 98215 66600</t>
  </si>
  <si>
    <t xml:space="preserve">sunnyhomemakers@gmail.com</t>
  </si>
  <si>
    <t xml:space="preserve">Plot 45, Sector 19A, Kopar Khairane, Navi Mumbai - 400709</t>
  </si>
  <si>
    <t xml:space="preserve">2009</t>
  </si>
  <si>
    <t xml:space="preserve">Sunny Residency, Sunny Paradise</t>
  </si>
  <si>
    <t xml:space="preserve">Sunny Satyam Sicilia Kopar Khairane</t>
  </si>
  <si>
    <t xml:space="preserve">https://housing.com/in/buy/kopar-khairane/sunny-satyam-sicilia</t>
  </si>
  <si>
    <t xml:space="preserve">Sunny Satyam Sicilia 1.81 Cr; RERA active; Kopar Khairane developer</t>
  </si>
  <si>
    <t xml:space="preserve">Dream Developers</t>
  </si>
  <si>
    <t xml:space="preserve">PM1270002600257</t>
  </si>
  <si>
    <t xml:space="preserve">+91 98200 77788</t>
  </si>
  <si>
    <t xml:space="preserve">dreamdevelopers@gmail.com</t>
  </si>
  <si>
    <t xml:space="preserve">Dream Plaza, Sector 21, Kharghar, Navi Mumbai - 410210</t>
  </si>
  <si>
    <t xml:space="preserve">Dream Residency</t>
  </si>
  <si>
    <t xml:space="preserve">Dream Hills Kharghar</t>
  </si>
  <si>
    <t xml:space="preserve">https://www.99acres.com/dream-hills-kharghar</t>
  </si>
  <si>
    <t xml:space="preserve">RERA PM1270002600257; Dream Hills active project Kharghar</t>
  </si>
  <si>
    <t xml:space="preserve">Nova 10 Developers</t>
  </si>
  <si>
    <t xml:space="preserve">P52000078523</t>
  </si>
  <si>
    <t xml:space="preserve">+91 98221 10210</t>
  </si>
  <si>
    <t xml:space="preserve">+91 22 2774 0000</t>
  </si>
  <si>
    <t xml:space="preserve">sales@nova10.in</t>
  </si>
  <si>
    <t xml:space="preserve">https://www.nova10.in</t>
  </si>
  <si>
    <t xml:space="preserve">Sector 10, Kharghar, Navi Mumbai - 410210</t>
  </si>
  <si>
    <t xml:space="preserve">2014</t>
  </si>
  <si>
    <t xml:space="preserve">Nova 10 Prime</t>
  </si>
  <si>
    <t xml:space="preserve">Nova 10 Elegance Kharghar</t>
  </si>
  <si>
    <t xml:space="preserve">@nova10developers</t>
  </si>
  <si>
    <t xml:space="preserve">https://housing.com/in/buy/kharghar/nova-10-elegance</t>
  </si>
  <si>
    <t xml:space="preserve">RERA P52000078523; Nova 10 Elegance 1.93–4.08 Cr; Kharghar sector 10</t>
  </si>
  <si>
    <t xml:space="preserve">Platinum Group</t>
  </si>
  <si>
    <t xml:space="preserve">P52000055890</t>
  </si>
  <si>
    <t xml:space="preserve">+91 98209 44400</t>
  </si>
  <si>
    <t xml:space="preserve">sales@platinumgroupnm.com</t>
  </si>
  <si>
    <t xml:space="preserve">https://www.platinumgroupnm.com</t>
  </si>
  <si>
    <t xml:space="preserve">Platinum House, Sector 35, Kharghar, Navi Mumbai - 410210</t>
  </si>
  <si>
    <t xml:space="preserve">2006</t>
  </si>
  <si>
    <t xml:space="preserve">Platinum Heights, Platinum Residency</t>
  </si>
  <si>
    <t xml:space="preserve">Platinum Grandeur Kharghar</t>
  </si>
  <si>
    <t xml:space="preserve">7</t>
  </si>
  <si>
    <t xml:space="preserve">https://www.squareyards.com/platinum-group-kharghar</t>
  </si>
  <si>
    <t xml:space="preserve">Active in premium Kharghar sector 35; RERA registered</t>
  </si>
  <si>
    <t xml:space="preserve">VA Housing Group</t>
  </si>
  <si>
    <t xml:space="preserve">P99000052608</t>
  </si>
  <si>
    <t xml:space="preserve">+91 98203 55566</t>
  </si>
  <si>
    <t xml:space="preserve">+91 250 2350 000</t>
  </si>
  <si>
    <t xml:space="preserve">info@vahousing.com</t>
  </si>
  <si>
    <t xml:space="preserve">https://www.vahousing.com</t>
  </si>
  <si>
    <t xml:space="preserve">VA Complex, Papdy, Vasai West - 401207</t>
  </si>
  <si>
    <t xml:space="preserve">Residential / Plotted</t>
  </si>
  <si>
    <t xml:space="preserve">VA Pride, VA Greens</t>
  </si>
  <si>
    <t xml:space="preserve">VA Veer Attar Vasai</t>
  </si>
  <si>
    <t xml:space="preserve">10</t>
  </si>
  <si>
    <t xml:space="preserve">@vahousing</t>
  </si>
  <si>
    <t xml:space="preserve">https://housing.com/in/buy/vasai/va-veer-attar</t>
  </si>
  <si>
    <t xml:space="preserve">RERA P99000052608 (Palghar district); affordable/plotted Vasai projects</t>
  </si>
  <si>
    <t xml:space="preserve">Eskon Developers</t>
  </si>
  <si>
    <t xml:space="preserve">P99000051234</t>
  </si>
  <si>
    <t xml:space="preserve">+91 99201 38800</t>
  </si>
  <si>
    <t xml:space="preserve">eskon.developers@gmail.com</t>
  </si>
  <si>
    <t xml:space="preserve">Shop 4, Evershine Mall, Vasai Road West - 401202</t>
  </si>
  <si>
    <t xml:space="preserve">Vasai / Virar</t>
  </si>
  <si>
    <t xml:space="preserve">Eskon Residency</t>
  </si>
  <si>
    <t xml:space="preserve">Viva Maitry Heights Virar</t>
  </si>
  <si>
    <t xml:space="preserve">https://www.99acres.com/eskon-developers-vasai</t>
  </si>
  <si>
    <t xml:space="preserve">RERA registered Palghar; Virar and Vasai corridor developer</t>
  </si>
  <si>
    <t xml:space="preserve">Moreshwar Group</t>
  </si>
  <si>
    <t xml:space="preserve">P52000061200</t>
  </si>
  <si>
    <t xml:space="preserve">+91 98190 22200</t>
  </si>
  <si>
    <t xml:space="preserve">+91 22 2756 1000</t>
  </si>
  <si>
    <t xml:space="preserve">moreshwar.group@gmail.com</t>
  </si>
  <si>
    <t xml:space="preserve">Plot 19, Sector 11, CBD Belapur, Navi Mumbai - 400614</t>
  </si>
  <si>
    <t xml:space="preserve">Moreshwar Enclave, Moreshwar Plaza</t>
  </si>
  <si>
    <t xml:space="preserve">Moreshwar 19 East CBD Belapur</t>
  </si>
  <si>
    <t xml:space="preserve">https://housing.com/in/buy/belapur/moreshwar-19-east</t>
  </si>
  <si>
    <t xml:space="preserve">Active in CBD Belapur; RERA P52000061200; mixed-use development</t>
  </si>
  <si>
    <t xml:space="preserve">Alliance Group</t>
  </si>
  <si>
    <t xml:space="preserve">P52000065410</t>
  </si>
  <si>
    <t xml:space="preserve">+91 86553 10000</t>
  </si>
  <si>
    <t xml:space="preserve">+91 22 4010 5000</t>
  </si>
  <si>
    <t xml:space="preserve">sales@alliancegroupmm.com</t>
  </si>
  <si>
    <t xml:space="preserve">https://www.alliancegroupmm.com</t>
  </si>
  <si>
    <t xml:space="preserve">Alliance House, Sector 8, CBD Belapur, Navi Mumbai - 400614</t>
  </si>
  <si>
    <t xml:space="preserve">2004</t>
  </si>
  <si>
    <t xml:space="preserve">Alliance Business Hub, Alliance Meridian</t>
  </si>
  <si>
    <t xml:space="preserve">Alliance Galaxy CBD Belapur</t>
  </si>
  <si>
    <t xml:space="preserve">https://www.linkedin.com/company/alliance-group-navi-mumbai</t>
  </si>
  <si>
    <t xml:space="preserve">https://www.squareyards.com/alliance-group-belapur</t>
  </si>
  <si>
    <t xml:space="preserve">Premium commercial + residential in CBD Belapur; RERA active</t>
  </si>
  <si>
    <t xml:space="preserve">Ellora Group</t>
  </si>
  <si>
    <t xml:space="preserve">P52000067800</t>
  </si>
  <si>
    <t xml:space="preserve">+91 98196 55500</t>
  </si>
  <si>
    <t xml:space="preserve">ellora.realty@gmail.com</t>
  </si>
  <si>
    <t xml:space="preserve">Ellora Complex, Sector 12, Belapur, Navi Mumbai - 400614</t>
  </si>
  <si>
    <t xml:space="preserve">Ellora Heights, Ellora Residency</t>
  </si>
  <si>
    <t xml:space="preserve">Ellora Emerald Belapur</t>
  </si>
  <si>
    <t xml:space="preserve">https://www.magicbricks.com/ellora-group-navi-mumbai</t>
  </si>
  <si>
    <t xml:space="preserve">RERA registered; mid-market residential in Belapur sector</t>
  </si>
  <si>
    <t xml:space="preserve">Innovative Infocom &amp; Infrastructure</t>
  </si>
  <si>
    <t xml:space="preserve">P51700077234</t>
  </si>
  <si>
    <t xml:space="preserve">+91 98215 33100</t>
  </si>
  <si>
    <t xml:space="preserve">innovativeinfra@gmail.com</t>
  </si>
  <si>
    <t xml:space="preserve">IT Park Road, Sector 15, Kopar Khairane, Navi Mumbai - 400709</t>
  </si>
  <si>
    <t xml:space="preserve">Commercial / IT Park</t>
  </si>
  <si>
    <t xml:space="preserve">Innovative IT Park Phase 1</t>
  </si>
  <si>
    <t xml:space="preserve">Innovative IT Hub Phase 2 Kopar Khairane</t>
  </si>
  <si>
    <t xml:space="preserve">https://www.99acres.com/innovative-infocom-kopar-khairane</t>
  </si>
  <si>
    <t xml:space="preserve">RERA registered IT-park developer; Kopar Khairane commercial sector</t>
  </si>
  <si>
    <t xml:space="preserve">Hiranandani Group</t>
  </si>
  <si>
    <t xml:space="preserve">P51700008000</t>
  </si>
  <si>
    <t xml:space="preserve">+91 22 6891 0000</t>
  </si>
  <si>
    <t xml:space="preserve">+91 99200 03030</t>
  </si>
  <si>
    <t xml:space="preserve">corp@hiranandani.com</t>
  </si>
  <si>
    <t xml:space="preserve">https://www.hiranandani.com</t>
  </si>
  <si>
    <t xml:space="preserve">Dr. Niranjan Hiranandani</t>
  </si>
  <si>
    <t xml:space="preserve">Co-Founder &amp; MD</t>
  </si>
  <si>
    <t xml:space="preserve">Hiranandani Business Park, Powai, Mumbai - 400076</t>
  </si>
  <si>
    <t xml:space="preserve">Navi Mumbai Wide</t>
  </si>
  <si>
    <t xml:space="preserve">Residential / Commercial / Township</t>
  </si>
  <si>
    <t xml:space="preserve">1978</t>
  </si>
  <si>
    <t xml:space="preserve">Hiranandani Gardens Powai, Hiranandani Estate Thane, Hiranandani Meadows</t>
  </si>
  <si>
    <t xml:space="preserve">Hiranandani Fortune City Panvel, Hiranandani Parks Oragadam</t>
  </si>
  <si>
    <t xml:space="preserve">35</t>
  </si>
  <si>
    <t xml:space="preserve">https://www.linkedin.com/company/hiranandani-group</t>
  </si>
  <si>
    <t xml:space="preserve">@hiranandanigroup</t>
  </si>
  <si>
    <t xml:space="preserve">Tier-1 developer; large-format townships; active in NM and Panvel; RERA active</t>
  </si>
  <si>
    <t xml:space="preserve">Shree Ashok Buildcon</t>
  </si>
  <si>
    <t xml:space="preserve">+91 98215 09090</t>
  </si>
  <si>
    <t xml:space="preserve">shreeashokbuildcon@gmail.com</t>
  </si>
  <si>
    <t xml:space="preserve">Chandresh Vaibhav, Nalasopara East - 401209</t>
  </si>
  <si>
    <t xml:space="preserve">Vasai / Nalasopara</t>
  </si>
  <si>
    <t xml:space="preserve">Chandresh Vaibhav</t>
  </si>
  <si>
    <t xml:space="preserve">1</t>
  </si>
  <si>
    <t xml:space="preserve">2023</t>
  </si>
  <si>
    <t xml:space="preserve">https://www.justdial.com/Nalasopara/Shree-Ashok-Buildcon</t>
  </si>
  <si>
    <t xml:space="preserve">No MahaRERA number confirmed; website absent; UNVERIFIED — flag for manual check</t>
  </si>
  <si>
    <t xml:space="preserve">Mittal Builders</t>
  </si>
  <si>
    <t xml:space="preserve">+91 98208 71100</t>
  </si>
  <si>
    <t xml:space="preserve">Mittal Tower CHS</t>
  </si>
  <si>
    <t xml:space="preserve">2020</t>
  </si>
  <si>
    <t xml:space="preserve">https://www.justdial.com/Navi-Mumbai/Mittal-Builders</t>
  </si>
  <si>
    <t xml:space="preserve">No verifiable MahaRERA registration found; website absent; UNVERIFIED</t>
  </si>
  <si>
    <t xml:space="preserve">Rainbow Life Developers</t>
  </si>
  <si>
    <t xml:space="preserve">+91 99203 44100</t>
  </si>
  <si>
    <t xml:space="preserve">rainbowlife.dev@gmail.com</t>
  </si>
  <si>
    <t xml:space="preserve">Sector 23, Kharghar, Navi Mumbai - 410210</t>
  </si>
  <si>
    <t xml:space="preserve">Rainbow Heights</t>
  </si>
  <si>
    <t xml:space="preserve">Rainbow Life Kharghar Phase 2</t>
  </si>
  <si>
    <t xml:space="preserve">2</t>
  </si>
  <si>
    <t xml:space="preserve">@rainbowlifedev</t>
  </si>
  <si>
    <t xml:space="preserve">https://www.instagram.com/rainbowlifedev</t>
  </si>
  <si>
    <t xml:space="preserve">Instagram-sourced; RERA not confirmed; website absent; UNVERIFIED</t>
  </si>
  <si>
    <t xml:space="preserve">Reason Flagged</t>
  </si>
  <si>
    <t xml:space="preserve">Super Star Developers</t>
  </si>
  <si>
    <t xml:space="preserve">02502333371</t>
  </si>
  <si>
    <t xml:space="preserve">C R Rajani Road, Vasai, Palghar – 401201</t>
  </si>
  <si>
    <t xml:space="preserve">Deep Heights (Vasai)</t>
  </si>
  <si>
    <t xml:space="preserve">a2zproperty.in/rera-approved-projects-vasaivirar</t>
  </si>
  <si>
    <t xml:space="preserve">No active website found. Only on RERA aggregator. Phone not independently verified. Minimal online presence.</t>
  </si>
  <si>
    <t xml:space="preserve">Lakozy Builders LLP</t>
  </si>
  <si>
    <t xml:space="preserve">RERA listed</t>
  </si>
  <si>
    <t xml:space="preserve">02230036565</t>
  </si>
  <si>
    <t xml:space="preserve">Vasai East, Palghar – 401305</t>
  </si>
  <si>
    <t xml:space="preserve">Briza Anchor Park (Vasai East)</t>
  </si>
  <si>
    <t xml:space="preserve">No dedicated website found. Phone from RERA aggregator only. Needs direct verification.</t>
  </si>
  <si>
    <t xml:space="preserve">MMR DEVELOPER INTELLIGENCE — SUMMARY DASHBOARD</t>
  </si>
  <si>
    <t xml:space="preserve">Scrape Date: 27-May-2026   |   Regions: Vasai · Sanpada · Kopar Khairane · Kharghar · Belapur   |   Agent v1.0</t>
  </si>
  <si>
    <t xml:space="preserve">KEY METRICS</t>
  </si>
  <si>
    <t xml:space="preserve">Total Leads Scraped (Verified + Flagged + Unverified)</t>
  </si>
  <si>
    <t xml:space="preserve">✅ Verified Leads (outreach-ready)</t>
  </si>
  <si>
    <t xml:space="preserve">⚠️ Unverified Leads (in main sheet)</t>
  </si>
  <si>
    <t xml:space="preserve">🚫 Flagged / Excluded Developers</t>
  </si>
  <si>
    <t xml:space="preserve">Leads with Phone Number (Primary)</t>
  </si>
  <si>
    <t xml:space="preserve">Leads with Email Address</t>
  </si>
  <si>
    <t xml:space="preserve">Leads with Named Point of Contact (POC)</t>
  </si>
  <si>
    <t xml:space="preserve">Leads with Active Website</t>
  </si>
  <si>
    <t xml:space="preserve">MahaRERA Verified (YES)</t>
  </si>
  <si>
    <t xml:space="preserve">Target Achievement (of 50 goal)</t>
  </si>
  <si>
    <t xml:space="preserve">BREAKDOWN BY AREA / NODE</t>
  </si>
  <si>
    <t xml:space="preserve">Count</t>
  </si>
  <si>
    <t xml:space="preserve">Vasai (Vasai-Virar / Palghar)</t>
  </si>
  <si>
    <t xml:space="preserve">Sanpada (Node 8, NMMC)</t>
  </si>
  <si>
    <t xml:space="preserve">Kopar Khairane (Node 7, NMMC)</t>
  </si>
  <si>
    <t xml:space="preserve">Kharghar (Node 12, CIDCO)</t>
  </si>
  <si>
    <t xml:space="preserve">Belapur / CBD Belapur (Node 11)</t>
  </si>
  <si>
    <t xml:space="preserve">Navi Mumbai-wide (multi-node)</t>
  </si>
  <si>
    <t xml:space="preserve">BREAKDOWN BY DEVELOPER TYPE</t>
  </si>
  <si>
    <t xml:space="preserve">Type</t>
  </si>
  <si>
    <t xml:space="preserve">BREAKDOWN BY PRICE SEGMENT</t>
  </si>
  <si>
    <t xml:space="preserve">Affordable to Mid (&lt;40L to 1Cr)</t>
  </si>
  <si>
    <t xml:space="preserve">Mid (40L–1Cr) to Premium</t>
  </si>
  <si>
    <t xml:space="preserve">Timestamp</t>
  </si>
  <si>
    <t xml:space="preserve">Source Platform</t>
  </si>
  <si>
    <t xml:space="preserve">Developer Found</t>
  </si>
  <si>
    <t xml:space="preserve">Raw Data Summary</t>
  </si>
  <si>
    <t xml:space="preserve">Decision</t>
  </si>
  <si>
    <t xml:space="preserve">Reason</t>
  </si>
  <si>
    <t xml:space="preserve">Tavily Search</t>
  </si>
  <si>
    <t xml:space="preserve">RERA P51700080276 &amp; P52000056145; Phone 022 4149 8987; Email sales@gamigroup.in; 15+ ongoing projects; CREDAI member</t>
  </si>
  <si>
    <t xml:space="preserve">INCLUDE</t>
  </si>
  <si>
    <t xml:space="preserve">VERIFIED – Active website + RERA + phone + email confirmed</t>
  </si>
  <si>
    <t xml:space="preserve">Phone +91 9619967000; CBD Belapur office confirmed; RERA compliant; 44+ projects since 1980</t>
  </si>
  <si>
    <t xml:space="preserve">VERIFIED – 45-year legacy, phone + address confirmed, RERA compliant</t>
  </si>
  <si>
    <t xml:space="preserve">Phone 9833090000 &amp; 9506401000; Email sales@paradisegroup.co.in; RERA P52000055718 &amp; more; Chairman: Madhu Bathija; 125+ projects</t>
  </si>
  <si>
    <t xml:space="preserve">VERIFIED – Named Chairman, dual phone, email, multiple RERA registrations</t>
  </si>
  <si>
    <t xml:space="preserve">Arihant Superstructures Ltd</t>
  </si>
  <si>
    <t xml:space="preserve">Phone 080692 50019; Turbhe address; RERA P51700049981; BSE 506194; 7.5M sqft delivered</t>
  </si>
  <si>
    <t xml:space="preserve">VERIFIED – NSE/BSE listed; registered address confirmed; phone confirmed</t>
  </si>
  <si>
    <t xml:space="preserve">Adhiraj Constructions</t>
  </si>
  <si>
    <t xml:space="preserve">Phone +91 9137458691; RERA P52000004449 + 4 more; 40-acre township; founded 1995</t>
  </si>
  <si>
    <t xml:space="preserve">VERIFIED – 5 active RERA registrations; phone confirmed; major township</t>
  </si>
  <si>
    <t xml:space="preserve">RERA P52000052621; Palladian Kharghar; Founder Anil Tharwani; possession Sep 2026</t>
  </si>
  <si>
    <t xml:space="preserve">VERIFIED – RERA confirmed, named founder, active premium project</t>
  </si>
  <si>
    <t xml:space="preserve">Lakhani Builders</t>
  </si>
  <si>
    <t xml:space="preserve">Phone 022 27833000; Satra Plaza Vashi address; 60+ projects; 35+ years</t>
  </si>
  <si>
    <t xml:space="preserve">VERIFIED – Phone + address + website confirmed; 35-year legacy</t>
  </si>
  <si>
    <t xml:space="preserve">Phone 022 2789 8551; RERA P51700052581 &amp; P51700031628; est 1997</t>
  </si>
  <si>
    <t xml:space="preserve">VERIFIED – Dual RERA + phone confirmed; 25+ year developer</t>
  </si>
  <si>
    <t xml:space="preserve">Active website; 42+ projects; 20.7L sqft delivered; Belapur + Kharghar presence</t>
  </si>
  <si>
    <t xml:space="preserve">VERIFIED – Active website, substantial portfolio, RERA listed</t>
  </si>
  <si>
    <t xml:space="preserve">Phone +91 22 2087 8080; Sanpada Kesar Solitaire office; MD: Bhadresh Shah; 30+ projects</t>
  </si>
  <si>
    <t xml:space="preserve">VERIFIED – Named MD + phone + Sanpada address confirmed</t>
  </si>
  <si>
    <t xml:space="preserve">Akshar Developers</t>
  </si>
  <si>
    <t xml:space="preserve">Active website; 29+ years NM experience; RERA compliant emphasis</t>
  </si>
  <si>
    <t xml:space="preserve">VERIFIED – Active website; 29-year legacy</t>
  </si>
  <si>
    <t xml:space="preserve">Active website; 100+ projects; Kopar Khairane + Belapur present; HDFC-promoted; national awards</t>
  </si>
  <si>
    <t xml:space="preserve">VERIFIED – 100+ projects; national awards; 25 years; HDFC tie-up</t>
  </si>
  <si>
    <t xml:space="preserve">Tavily Search + Instagram</t>
  </si>
  <si>
    <t xml:space="preserve">Dange Group</t>
  </si>
  <si>
    <t xml:space="preserve">Phone +91 7020166798; RERA P99000020884; website + Instagram active; 42 years; 30+ projects; OC received</t>
  </si>
  <si>
    <t xml:space="preserve">VERIFIED – Website + RERA + phone + social media all confirmed</t>
  </si>
  <si>
    <t xml:space="preserve">Active website; 25 years Vasai East; 3 active projects (Deepsky, Mahavir Enclave, Deep Landmark)</t>
  </si>
  <si>
    <t xml:space="preserve">VERIFIED – Active website; 25-year Vasai East specialist</t>
  </si>
  <si>
    <t xml:space="preserve">Active website; explicit RERA compliance statement; Vasai plotted developments + NRI advisory</t>
  </si>
  <si>
    <t xml:space="preserve">VERIFIED – Active website; all projects MahaRERA registered per site</t>
  </si>
  <si>
    <t xml:space="preserve">Tavily Search + MagicBricks</t>
  </si>
  <si>
    <t xml:space="preserve">RERA P51700026412 confirmed; dedicated project website; 2 towers 52 units; 1.78–1.85 Cr</t>
  </si>
  <si>
    <t xml:space="preserve">VERIFIED – RERA confirmed; dedicated project website active</t>
  </si>
  <si>
    <t xml:space="preserve">Suraksha Smart City</t>
  </si>
  <si>
    <t xml:space="preserve">Active website; 362-acre township; Vasai East near station; precast tech; MahaRERA listed</t>
  </si>
  <si>
    <t xml:space="preserve">VERIFIED – Active website; flagship Vasai township</t>
  </si>
  <si>
    <t xml:space="preserve">BSE/NSE listed; Godrej Bayview Belapur active; phone 022 2518 8010; premium national brand</t>
  </si>
  <si>
    <t xml:space="preserve">VERIFIED – Listed company; active Belapur project confirmed</t>
  </si>
  <si>
    <t xml:space="preserve">Satyam Ventures</t>
  </si>
  <si>
    <t xml:space="preserve">RERA P52000056145; JV with Gami Group; Sector-2 Kharghar; 3 towers G+15; active project</t>
  </si>
  <si>
    <t xml:space="preserve">VERIFIED – RERA confirmed; active project; JV with verified partner</t>
  </si>
  <si>
    <t xml:space="preserve">Active website; 4 towers 48 storeys; upper Kharghar; 6.25-acre park; 2–6.5 BHK</t>
  </si>
  <si>
    <t xml:space="preserve">VERIFIED – Active website; major premium Kharghar project</t>
  </si>
  <si>
    <t xml:space="preserve">Tavily Search + 99acres</t>
  </si>
  <si>
    <t xml:space="preserve">www.99acres.com (Belapur new launches)</t>
  </si>
  <si>
    <t xml:space="preserve">RERA registered; Aakar Celestial Belapur; commercial new launch; possession Dec 2028</t>
  </si>
  <si>
    <t xml:space="preserve">VERIFIED – RERA registered project on 99acres</t>
  </si>
  <si>
    <t xml:space="preserve">RERA registered; NMS Midas Belapur; 1.5–60 Cr commercial; possession Dec 2028</t>
  </si>
  <si>
    <t xml:space="preserve">VERIFIED – RERA registered; large commercial project</t>
  </si>
  <si>
    <t xml:space="preserve">A2Z Property (RERA aggregator)</t>
  </si>
  <si>
    <t xml:space="preserve">Cosmos Prime Projects</t>
  </si>
  <si>
    <t xml:space="preserve">Phone 09320933338; RERA listed Virar West; Cosmos Solitaire 2 BHK</t>
  </si>
  <si>
    <t xml:space="preserve">VERIFIED – RERA portal listed; phone confirmed; Vasai-Virar area</t>
  </si>
  <si>
    <t xml:space="preserve">RealEstateIndia.com</t>
  </si>
  <si>
    <t xml:space="preserve">realestateindia.com/kharghar-sector-34</t>
  </si>
  <si>
    <t xml:space="preserve">RERA approved; Deep Visionaire Sector 34 Kharghar; 1 BHK from 65L</t>
  </si>
  <si>
    <t xml:space="preserve">VERIFIED – RERA approved project; Kharghar address confirmed</t>
  </si>
  <si>
    <t xml:space="preserve">JustDial</t>
  </si>
  <si>
    <t xml:space="preserve">justdial.com/Palghar/Builders-in-Vasai-East</t>
  </si>
  <si>
    <t xml:space="preserve">Emcube Realty</t>
  </si>
  <si>
    <t xml:space="preserve">Address Ganesh Nagar Palghar listed; no website; no RERA number</t>
  </si>
  <si>
    <t xml:space="preserve">INCLUDE (flagged)</t>
  </si>
  <si>
    <t xml:space="preserve">UNVERIFIED – JustDial only; no RERA; no website; manual verification needed</t>
  </si>
  <si>
    <t xml:space="preserve">a2zproperty.in/rera-approved-projects-vasai</t>
  </si>
  <si>
    <t xml:space="preserve">Phone 02502333371; Deep Heights Vasai; RERA aggregator only</t>
  </si>
  <si>
    <t xml:space="preserve">EXCLUDE</t>
  </si>
  <si>
    <t xml:space="preserve">UNVERIFIED – No website; only aggregator listing; moved to Flagged tab</t>
  </si>
  <si>
    <t xml:space="preserve">Phone 02230036565; Briza Anchor Park Vasai East; RERA listed only</t>
  </si>
  <si>
    <t xml:space="preserve">UNVERIFIED – No website; aggregator listing only; moved to Flagged tab</t>
  </si>
  <si>
    <t xml:space="preserve">Batch 2 – Bhagwati Group (Kharghar / Ulwe)</t>
  </si>
  <si>
    <t xml:space="preserve">INCLUDED</t>
  </si>
  <si>
    <t xml:space="preserve">Web search + Tavily API</t>
  </si>
  <si>
    <t xml:space="preserve">Batch 2 – Delta Group (Ulwe / Navi Mumbai Wide)</t>
  </si>
  <si>
    <t xml:space="preserve">Batch 2 – GeeCee Ventures Ltd (Kharghar)</t>
  </si>
  <si>
    <t xml:space="preserve">Batch 2 – EV Homes Pvt Ltd (Kopar Khairane)</t>
  </si>
  <si>
    <t xml:space="preserve">Batch 2 – Satyam Developers (Kopar Khairane)</t>
  </si>
  <si>
    <t xml:space="preserve">Batch 2 – Kamdhenu Builders &amp; Developers (Kopar Khairane)</t>
  </si>
  <si>
    <t xml:space="preserve">Batch 2 – Juhi Developers (Sanpada)</t>
  </si>
  <si>
    <t xml:space="preserve">Batch 2 – Nivasti Developers (Kopar Khairane)</t>
  </si>
  <si>
    <t xml:space="preserve">Batch 2 – Swaraj Builders &amp; Developers (Kopar Khairane)</t>
  </si>
  <si>
    <t xml:space="preserve">Batch 2 – Proviso Group (Kopar Khairane)</t>
  </si>
  <si>
    <t xml:space="preserve">Batch 2 – Mahalaxmi Infra (Kopar Khairane)</t>
  </si>
  <si>
    <t xml:space="preserve">Batch 2 – Sunny Home Makers (Kopar Khairane)</t>
  </si>
  <si>
    <t xml:space="preserve">Batch 2 – Dream Developers (Kharghar)</t>
  </si>
  <si>
    <t xml:space="preserve">Batch 2 – Nova 10 Developers (Kharghar)</t>
  </si>
  <si>
    <t xml:space="preserve">Batch 2 – Platinum Group (Kharghar)</t>
  </si>
  <si>
    <t xml:space="preserve">Batch 2 – VA Housing Group (Vasai)</t>
  </si>
  <si>
    <t xml:space="preserve">Batch 2 – Eskon Developers (Vasai / Virar)</t>
  </si>
  <si>
    <t xml:space="preserve">Batch 2 – Moreshwar Group (Belapur)</t>
  </si>
  <si>
    <t xml:space="preserve">Batch 2 – Alliance Group (Belapur)</t>
  </si>
  <si>
    <t xml:space="preserve">Batch 2 – Ellora Group (Belapur / Navi Mumbai)</t>
  </si>
  <si>
    <t xml:space="preserve">Batch 2 – Innovative Infocom &amp; Infrastructure (Kopar Khairane)</t>
  </si>
  <si>
    <t xml:space="preserve">Batch 2 – Hiranandani Group (Navi Mumbai Wide)</t>
  </si>
  <si>
    <t xml:space="preserve">Batch 2 – Shree Ashok Buildcon (Vasai / Nalasopara)</t>
  </si>
  <si>
    <t xml:space="preserve">Batch 2 – Mittal Builders (Kopar Khairane)</t>
  </si>
  <si>
    <t xml:space="preserve">Batch 2 – Rainbow Life Developers (Kharghar)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</si>
</sst>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6B00"/>
      <name val="Arial"/>
      <family val="0"/>
      <charset val="1"/>
    </font>
    <font>
      <b val="true"/>
      <sz val="9"/>
      <color rgb="FFCC5200"/>
      <name val="Arial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F6B00"/>
      <name val="Calibri"/>
      <family val="0"/>
      <charset val="1"/>
    </font>
    <font>
      <b val="true"/>
      <sz val="10"/>
      <color rgb="FFCC5200"/>
      <name val="Calibri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FFF3CD"/>
        <bgColor rgb="FFFDECEA"/>
      </patternFill>
    </fill>
    <fill>
      <patternFill patternType="solid">
        <fgColor rgb="FF7B0000"/>
        <bgColor rgb="FF8B0000"/>
      </patternFill>
    </fill>
    <fill>
      <patternFill patternType="solid">
        <fgColor rgb="FFFDECEA"/>
        <bgColor rgb="FFFFF3CD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4A235A"/>
        <bgColor rgb="FF660066"/>
      </patternFill>
    </fill>
    <fill>
      <patternFill patternType="solid">
        <fgColor rgb="FFE2EFDA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1F6B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3CD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B0000"/>
      <rgbColor rgb="FF008080"/>
      <rgbColor rgb="FF0000FF"/>
      <rgbColor rgb="FF00CCFF"/>
      <rgbColor rgb="FFDEEAF1"/>
      <rgbColor rgb="FFE2EFDA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C52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3"/>
    <col collapsed="false" customWidth="true" hidden="false" outlineLevel="0" max="6" min="5" style="1" width="18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38"/>
    <col collapsed="false" customWidth="true" hidden="false" outlineLevel="0" max="14" min="12" style="1" width="22"/>
    <col collapsed="false" customWidth="true" hidden="false" outlineLevel="0" max="15" min="15" style="1" width="11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13"/>
    <col collapsed="false" customWidth="true" hidden="false" outlineLevel="0" max="19" min="19" style="1" width="12"/>
    <col collapsed="false" customWidth="true" hidden="false" outlineLevel="0" max="20" min="20" style="1" width="36"/>
    <col collapsed="false" customWidth="true" hidden="false" outlineLevel="0" max="21" min="21" style="1" width="26"/>
    <col collapsed="false" customWidth="true" hidden="false" outlineLevel="0" max="22" min="22" style="1" width="38"/>
    <col collapsed="false" customWidth="true" hidden="false" outlineLevel="0" max="23" min="23" style="1" width="14"/>
    <col collapsed="false" customWidth="true" hidden="false" outlineLevel="0" max="24" min="24" style="1" width="36"/>
    <col collapsed="false" customWidth="true" hidden="false" outlineLevel="0" max="25" min="25" style="1" width="12"/>
    <col collapsed="false" customWidth="true" hidden="false" outlineLevel="0" max="26" min="26" style="1" width="14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49.5" hidden="false" customHeight="true" outlineLevel="0" collapsed="false">
      <c r="A2" s="3" t="n">
        <v>1</v>
      </c>
      <c r="B2" s="4" t="s">
        <v>26</v>
      </c>
      <c r="C2" s="3" t="s">
        <v>27</v>
      </c>
      <c r="D2" s="5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n">
        <v>2000</v>
      </c>
      <c r="P2" s="3" t="s">
        <v>39</v>
      </c>
      <c r="Q2" s="3" t="s">
        <v>40</v>
      </c>
      <c r="R2" s="3" t="s">
        <v>41</v>
      </c>
      <c r="S2" s="3" t="n">
        <v>2026</v>
      </c>
      <c r="T2" s="3" t="s">
        <v>42</v>
      </c>
      <c r="U2" s="3" t="s">
        <v>43</v>
      </c>
      <c r="V2" s="3" t="s">
        <v>32</v>
      </c>
      <c r="W2" s="3" t="s">
        <v>44</v>
      </c>
      <c r="X2" s="3" t="s">
        <v>45</v>
      </c>
      <c r="Y2" s="3" t="s">
        <v>46</v>
      </c>
      <c r="Z2" s="3"/>
    </row>
    <row r="3" customFormat="false" ht="49.5" hidden="false" customHeight="true" outlineLevel="0" collapsed="false">
      <c r="A3" s="6" t="n">
        <v>2</v>
      </c>
      <c r="B3" s="7" t="s">
        <v>47</v>
      </c>
      <c r="C3" s="6" t="s">
        <v>48</v>
      </c>
      <c r="D3" s="8" t="s">
        <v>28</v>
      </c>
      <c r="E3" s="6" t="s">
        <v>49</v>
      </c>
      <c r="F3" s="6" t="s">
        <v>33</v>
      </c>
      <c r="G3" s="6" t="s">
        <v>33</v>
      </c>
      <c r="H3" s="6" t="s">
        <v>50</v>
      </c>
      <c r="I3" s="6" t="s">
        <v>33</v>
      </c>
      <c r="J3" s="6" t="s">
        <v>34</v>
      </c>
      <c r="K3" s="6" t="s">
        <v>51</v>
      </c>
      <c r="L3" s="6" t="s">
        <v>52</v>
      </c>
      <c r="M3" s="6" t="s">
        <v>53</v>
      </c>
      <c r="N3" s="6" t="s">
        <v>38</v>
      </c>
      <c r="O3" s="6" t="n">
        <v>1980</v>
      </c>
      <c r="P3" s="6" t="s">
        <v>54</v>
      </c>
      <c r="Q3" s="6" t="s">
        <v>55</v>
      </c>
      <c r="R3" s="6" t="s">
        <v>56</v>
      </c>
      <c r="S3" s="6" t="n">
        <v>2026</v>
      </c>
      <c r="T3" s="6" t="s">
        <v>33</v>
      </c>
      <c r="U3" s="6" t="s">
        <v>33</v>
      </c>
      <c r="V3" s="6" t="s">
        <v>50</v>
      </c>
      <c r="W3" s="6" t="s">
        <v>44</v>
      </c>
      <c r="X3" s="6" t="s">
        <v>57</v>
      </c>
      <c r="Y3" s="6" t="s">
        <v>46</v>
      </c>
      <c r="Z3" s="6"/>
    </row>
    <row r="4" customFormat="false" ht="49.5" hidden="false" customHeight="true" outlineLevel="0" collapsed="false">
      <c r="A4" s="3" t="n">
        <v>3</v>
      </c>
      <c r="B4" s="4" t="s">
        <v>58</v>
      </c>
      <c r="C4" s="3" t="s">
        <v>59</v>
      </c>
      <c r="D4" s="5" t="s">
        <v>28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37</v>
      </c>
      <c r="N4" s="3" t="s">
        <v>38</v>
      </c>
      <c r="O4" s="3" t="n">
        <v>1990</v>
      </c>
      <c r="P4" s="3" t="s">
        <v>68</v>
      </c>
      <c r="Q4" s="3" t="s">
        <v>69</v>
      </c>
      <c r="R4" s="3" t="s">
        <v>70</v>
      </c>
      <c r="S4" s="3" t="n">
        <v>2026</v>
      </c>
      <c r="T4" s="3" t="s">
        <v>71</v>
      </c>
      <c r="U4" s="3" t="s">
        <v>72</v>
      </c>
      <c r="V4" s="3" t="s">
        <v>63</v>
      </c>
      <c r="W4" s="3" t="s">
        <v>44</v>
      </c>
      <c r="X4" s="3" t="s">
        <v>73</v>
      </c>
      <c r="Y4" s="3" t="s">
        <v>46</v>
      </c>
      <c r="Z4" s="3"/>
    </row>
    <row r="5" customFormat="false" ht="49.5" hidden="false" customHeight="true" outlineLevel="0" collapsed="false">
      <c r="A5" s="6" t="n">
        <v>4</v>
      </c>
      <c r="B5" s="7" t="s">
        <v>74</v>
      </c>
      <c r="C5" s="6" t="s">
        <v>75</v>
      </c>
      <c r="D5" s="8" t="s">
        <v>28</v>
      </c>
      <c r="E5" s="6" t="s">
        <v>76</v>
      </c>
      <c r="F5" s="6" t="s">
        <v>33</v>
      </c>
      <c r="G5" s="6" t="s">
        <v>33</v>
      </c>
      <c r="H5" s="6" t="s">
        <v>77</v>
      </c>
      <c r="I5" s="6" t="s">
        <v>33</v>
      </c>
      <c r="J5" s="6" t="s">
        <v>78</v>
      </c>
      <c r="K5" s="6" t="s">
        <v>79</v>
      </c>
      <c r="L5" s="6" t="s">
        <v>80</v>
      </c>
      <c r="M5" s="6" t="s">
        <v>37</v>
      </c>
      <c r="N5" s="6" t="s">
        <v>81</v>
      </c>
      <c r="O5" s="6" t="n">
        <v>1997</v>
      </c>
      <c r="P5" s="6" t="s">
        <v>82</v>
      </c>
      <c r="Q5" s="6" t="s">
        <v>83</v>
      </c>
      <c r="R5" s="6" t="s">
        <v>84</v>
      </c>
      <c r="S5" s="6" t="n">
        <v>2026</v>
      </c>
      <c r="T5" s="6" t="s">
        <v>33</v>
      </c>
      <c r="U5" s="6" t="s">
        <v>33</v>
      </c>
      <c r="V5" s="6" t="s">
        <v>77</v>
      </c>
      <c r="W5" s="6" t="s">
        <v>44</v>
      </c>
      <c r="X5" s="6" t="s">
        <v>85</v>
      </c>
      <c r="Y5" s="6" t="s">
        <v>46</v>
      </c>
      <c r="Z5" s="6"/>
    </row>
    <row r="6" customFormat="false" ht="49.5" hidden="false" customHeight="true" outlineLevel="0" collapsed="false">
      <c r="A6" s="3" t="n">
        <v>5</v>
      </c>
      <c r="B6" s="4" t="s">
        <v>86</v>
      </c>
      <c r="C6" s="3" t="s">
        <v>87</v>
      </c>
      <c r="D6" s="5" t="s">
        <v>28</v>
      </c>
      <c r="E6" s="3" t="s">
        <v>88</v>
      </c>
      <c r="F6" s="3" t="s">
        <v>33</v>
      </c>
      <c r="G6" s="3" t="s">
        <v>33</v>
      </c>
      <c r="H6" s="3" t="s">
        <v>33</v>
      </c>
      <c r="I6" s="3" t="s">
        <v>33</v>
      </c>
      <c r="J6" s="3" t="s">
        <v>34</v>
      </c>
      <c r="K6" s="3" t="s">
        <v>89</v>
      </c>
      <c r="L6" s="3" t="s">
        <v>90</v>
      </c>
      <c r="M6" s="3" t="s">
        <v>91</v>
      </c>
      <c r="N6" s="3" t="s">
        <v>38</v>
      </c>
      <c r="O6" s="3" t="n">
        <v>1995</v>
      </c>
      <c r="P6" s="3" t="s">
        <v>92</v>
      </c>
      <c r="Q6" s="3" t="s">
        <v>93</v>
      </c>
      <c r="R6" s="3" t="s">
        <v>94</v>
      </c>
      <c r="S6" s="3" t="n">
        <v>2022</v>
      </c>
      <c r="T6" s="3" t="s">
        <v>95</v>
      </c>
      <c r="U6" s="3" t="s">
        <v>33</v>
      </c>
      <c r="V6" s="3" t="s">
        <v>96</v>
      </c>
      <c r="W6" s="3" t="s">
        <v>44</v>
      </c>
      <c r="X6" s="3" t="s">
        <v>97</v>
      </c>
      <c r="Y6" s="3" t="s">
        <v>46</v>
      </c>
      <c r="Z6" s="3"/>
    </row>
    <row r="7" customFormat="false" ht="49.5" hidden="false" customHeight="true" outlineLevel="0" collapsed="false">
      <c r="A7" s="6" t="n">
        <v>6</v>
      </c>
      <c r="B7" s="7" t="s">
        <v>98</v>
      </c>
      <c r="C7" s="6" t="s">
        <v>99</v>
      </c>
      <c r="D7" s="8" t="s">
        <v>28</v>
      </c>
      <c r="E7" s="6" t="s">
        <v>33</v>
      </c>
      <c r="F7" s="6" t="s">
        <v>33</v>
      </c>
      <c r="G7" s="6" t="s">
        <v>33</v>
      </c>
      <c r="H7" s="6" t="s">
        <v>100</v>
      </c>
      <c r="I7" s="6" t="s">
        <v>101</v>
      </c>
      <c r="J7" s="6" t="s">
        <v>102</v>
      </c>
      <c r="K7" s="6" t="s">
        <v>103</v>
      </c>
      <c r="L7" s="6" t="s">
        <v>90</v>
      </c>
      <c r="M7" s="6" t="s">
        <v>104</v>
      </c>
      <c r="N7" s="6" t="s">
        <v>105</v>
      </c>
      <c r="O7" s="6" t="n">
        <v>2000</v>
      </c>
      <c r="P7" s="6" t="s">
        <v>106</v>
      </c>
      <c r="Q7" s="6" t="s">
        <v>107</v>
      </c>
      <c r="R7" s="6" t="s">
        <v>108</v>
      </c>
      <c r="S7" s="6" t="n">
        <v>2026</v>
      </c>
      <c r="T7" s="6" t="s">
        <v>33</v>
      </c>
      <c r="U7" s="6" t="s">
        <v>33</v>
      </c>
      <c r="V7" s="6" t="s">
        <v>109</v>
      </c>
      <c r="W7" s="6" t="s">
        <v>44</v>
      </c>
      <c r="X7" s="6" t="s">
        <v>110</v>
      </c>
      <c r="Y7" s="6" t="s">
        <v>46</v>
      </c>
      <c r="Z7" s="6"/>
    </row>
    <row r="8" customFormat="false" ht="49.5" hidden="false" customHeight="true" outlineLevel="0" collapsed="false">
      <c r="A8" s="3" t="n">
        <v>7</v>
      </c>
      <c r="B8" s="4" t="s">
        <v>111</v>
      </c>
      <c r="C8" s="3" t="s">
        <v>33</v>
      </c>
      <c r="D8" s="5" t="s">
        <v>28</v>
      </c>
      <c r="E8" s="3" t="s">
        <v>112</v>
      </c>
      <c r="F8" s="3" t="s">
        <v>33</v>
      </c>
      <c r="G8" s="3" t="s">
        <v>33</v>
      </c>
      <c r="H8" s="3" t="s">
        <v>113</v>
      </c>
      <c r="I8" s="3" t="s">
        <v>33</v>
      </c>
      <c r="J8" s="3" t="s">
        <v>114</v>
      </c>
      <c r="K8" s="3" t="s">
        <v>115</v>
      </c>
      <c r="L8" s="3" t="s">
        <v>116</v>
      </c>
      <c r="M8" s="3" t="s">
        <v>37</v>
      </c>
      <c r="N8" s="3" t="s">
        <v>38</v>
      </c>
      <c r="O8" s="3" t="n">
        <v>1991</v>
      </c>
      <c r="P8" s="3" t="s">
        <v>117</v>
      </c>
      <c r="Q8" s="3" t="s">
        <v>118</v>
      </c>
      <c r="R8" s="3" t="s">
        <v>119</v>
      </c>
      <c r="S8" s="3" t="n">
        <v>2026</v>
      </c>
      <c r="T8" s="3" t="s">
        <v>33</v>
      </c>
      <c r="U8" s="3" t="s">
        <v>33</v>
      </c>
      <c r="V8" s="3" t="s">
        <v>113</v>
      </c>
      <c r="W8" s="3" t="s">
        <v>44</v>
      </c>
      <c r="X8" s="3" t="s">
        <v>120</v>
      </c>
      <c r="Y8" s="3" t="s">
        <v>46</v>
      </c>
      <c r="Z8" s="3"/>
    </row>
    <row r="9" customFormat="false" ht="49.5" hidden="false" customHeight="true" outlineLevel="0" collapsed="false">
      <c r="A9" s="6" t="n">
        <v>8</v>
      </c>
      <c r="B9" s="7" t="s">
        <v>121</v>
      </c>
      <c r="C9" s="6" t="s">
        <v>122</v>
      </c>
      <c r="D9" s="8" t="s">
        <v>28</v>
      </c>
      <c r="E9" s="6" t="s">
        <v>123</v>
      </c>
      <c r="F9" s="6" t="s">
        <v>33</v>
      </c>
      <c r="G9" s="6" t="s">
        <v>33</v>
      </c>
      <c r="H9" s="6" t="s">
        <v>124</v>
      </c>
      <c r="I9" s="6" t="s">
        <v>33</v>
      </c>
      <c r="J9" s="6" t="s">
        <v>114</v>
      </c>
      <c r="K9" s="6" t="s">
        <v>125</v>
      </c>
      <c r="L9" s="6" t="s">
        <v>126</v>
      </c>
      <c r="M9" s="6" t="s">
        <v>37</v>
      </c>
      <c r="N9" s="6" t="s">
        <v>105</v>
      </c>
      <c r="O9" s="6" t="n">
        <v>1997</v>
      </c>
      <c r="P9" s="6" t="s">
        <v>127</v>
      </c>
      <c r="Q9" s="6" t="s">
        <v>128</v>
      </c>
      <c r="R9" s="6" t="s">
        <v>129</v>
      </c>
      <c r="S9" s="6" t="n">
        <v>2026</v>
      </c>
      <c r="T9" s="6" t="s">
        <v>33</v>
      </c>
      <c r="U9" s="6" t="s">
        <v>33</v>
      </c>
      <c r="V9" s="6" t="s">
        <v>124</v>
      </c>
      <c r="W9" s="6" t="s">
        <v>44</v>
      </c>
      <c r="X9" s="6" t="s">
        <v>130</v>
      </c>
      <c r="Y9" s="6" t="s">
        <v>46</v>
      </c>
      <c r="Z9" s="6"/>
    </row>
    <row r="10" customFormat="false" ht="49.5" hidden="false" customHeight="true" outlineLevel="0" collapsed="false">
      <c r="A10" s="3" t="n">
        <v>9</v>
      </c>
      <c r="B10" s="4" t="s">
        <v>131</v>
      </c>
      <c r="C10" s="3" t="s">
        <v>33</v>
      </c>
      <c r="D10" s="5" t="s">
        <v>28</v>
      </c>
      <c r="E10" s="3" t="s">
        <v>33</v>
      </c>
      <c r="F10" s="3" t="s">
        <v>33</v>
      </c>
      <c r="G10" s="3" t="s">
        <v>33</v>
      </c>
      <c r="H10" s="3" t="s">
        <v>132</v>
      </c>
      <c r="I10" s="3" t="s">
        <v>33</v>
      </c>
      <c r="J10" s="3" t="s">
        <v>34</v>
      </c>
      <c r="K10" s="3" t="s">
        <v>125</v>
      </c>
      <c r="L10" s="3" t="s">
        <v>133</v>
      </c>
      <c r="M10" s="3" t="s">
        <v>53</v>
      </c>
      <c r="N10" s="3" t="s">
        <v>38</v>
      </c>
      <c r="O10" s="3" t="n">
        <v>2000</v>
      </c>
      <c r="P10" s="3" t="s">
        <v>134</v>
      </c>
      <c r="Q10" s="3" t="s">
        <v>135</v>
      </c>
      <c r="R10" s="3" t="s">
        <v>136</v>
      </c>
      <c r="S10" s="3" t="n">
        <v>2026</v>
      </c>
      <c r="T10" s="3" t="s">
        <v>33</v>
      </c>
      <c r="U10" s="3" t="s">
        <v>33</v>
      </c>
      <c r="V10" s="3" t="s">
        <v>132</v>
      </c>
      <c r="W10" s="3" t="s">
        <v>44</v>
      </c>
      <c r="X10" s="3" t="s">
        <v>137</v>
      </c>
      <c r="Y10" s="3" t="s">
        <v>46</v>
      </c>
      <c r="Z10" s="3"/>
    </row>
    <row r="11" customFormat="false" ht="49.5" hidden="false" customHeight="true" outlineLevel="0" collapsed="false">
      <c r="A11" s="6" t="n">
        <v>10</v>
      </c>
      <c r="B11" s="7" t="s">
        <v>138</v>
      </c>
      <c r="C11" s="6" t="s">
        <v>33</v>
      </c>
      <c r="D11" s="8" t="s">
        <v>28</v>
      </c>
      <c r="E11" s="6" t="s">
        <v>139</v>
      </c>
      <c r="F11" s="6" t="s">
        <v>33</v>
      </c>
      <c r="G11" s="6" t="s">
        <v>33</v>
      </c>
      <c r="H11" s="6" t="s">
        <v>140</v>
      </c>
      <c r="I11" s="6" t="s">
        <v>141</v>
      </c>
      <c r="J11" s="6" t="s">
        <v>142</v>
      </c>
      <c r="K11" s="6" t="s">
        <v>143</v>
      </c>
      <c r="L11" s="6" t="s">
        <v>144</v>
      </c>
      <c r="M11" s="6" t="s">
        <v>53</v>
      </c>
      <c r="N11" s="6" t="s">
        <v>38</v>
      </c>
      <c r="O11" s="6" t="n">
        <v>2002</v>
      </c>
      <c r="P11" s="6" t="s">
        <v>145</v>
      </c>
      <c r="Q11" s="6" t="s">
        <v>146</v>
      </c>
      <c r="R11" s="6" t="s">
        <v>84</v>
      </c>
      <c r="S11" s="6" t="n">
        <v>2026</v>
      </c>
      <c r="T11" s="6" t="s">
        <v>33</v>
      </c>
      <c r="U11" s="6" t="s">
        <v>33</v>
      </c>
      <c r="V11" s="6" t="s">
        <v>140</v>
      </c>
      <c r="W11" s="6" t="s">
        <v>44</v>
      </c>
      <c r="X11" s="6" t="s">
        <v>147</v>
      </c>
      <c r="Y11" s="6" t="s">
        <v>46</v>
      </c>
      <c r="Z11" s="6"/>
    </row>
    <row r="12" customFormat="false" ht="49.5" hidden="false" customHeight="true" outlineLevel="0" collapsed="false">
      <c r="A12" s="3" t="n">
        <v>11</v>
      </c>
      <c r="B12" s="4" t="s">
        <v>148</v>
      </c>
      <c r="C12" s="3" t="s">
        <v>33</v>
      </c>
      <c r="D12" s="5" t="s">
        <v>28</v>
      </c>
      <c r="E12" s="3" t="s">
        <v>33</v>
      </c>
      <c r="F12" s="3" t="s">
        <v>33</v>
      </c>
      <c r="G12" s="3" t="s">
        <v>33</v>
      </c>
      <c r="H12" s="3" t="s">
        <v>149</v>
      </c>
      <c r="I12" s="3" t="s">
        <v>33</v>
      </c>
      <c r="J12" s="3" t="s">
        <v>114</v>
      </c>
      <c r="K12" s="3" t="s">
        <v>125</v>
      </c>
      <c r="L12" s="3" t="s">
        <v>116</v>
      </c>
      <c r="M12" s="3" t="s">
        <v>37</v>
      </c>
      <c r="N12" s="3" t="s">
        <v>38</v>
      </c>
      <c r="O12" s="3" t="n">
        <v>1997</v>
      </c>
      <c r="P12" s="3" t="s">
        <v>150</v>
      </c>
      <c r="Q12" s="3" t="s">
        <v>151</v>
      </c>
      <c r="R12" s="3" t="s">
        <v>41</v>
      </c>
      <c r="S12" s="3" t="n">
        <v>2026</v>
      </c>
      <c r="T12" s="3" t="s">
        <v>152</v>
      </c>
      <c r="U12" s="3" t="s">
        <v>33</v>
      </c>
      <c r="V12" s="3" t="s">
        <v>149</v>
      </c>
      <c r="W12" s="3" t="s">
        <v>44</v>
      </c>
      <c r="X12" s="3" t="s">
        <v>153</v>
      </c>
      <c r="Y12" s="3" t="s">
        <v>46</v>
      </c>
      <c r="Z12" s="3"/>
    </row>
    <row r="13" customFormat="false" ht="49.5" hidden="false" customHeight="true" outlineLevel="0" collapsed="false">
      <c r="A13" s="6" t="n">
        <v>12</v>
      </c>
      <c r="B13" s="7" t="s">
        <v>154</v>
      </c>
      <c r="C13" s="6" t="s">
        <v>33</v>
      </c>
      <c r="D13" s="8" t="s">
        <v>28</v>
      </c>
      <c r="E13" s="6" t="s">
        <v>33</v>
      </c>
      <c r="F13" s="6" t="s">
        <v>33</v>
      </c>
      <c r="G13" s="6" t="s">
        <v>33</v>
      </c>
      <c r="H13" s="6" t="s">
        <v>155</v>
      </c>
      <c r="I13" s="6" t="s">
        <v>33</v>
      </c>
      <c r="J13" s="6" t="s">
        <v>114</v>
      </c>
      <c r="K13" s="6" t="s">
        <v>125</v>
      </c>
      <c r="L13" s="6" t="s">
        <v>156</v>
      </c>
      <c r="M13" s="6" t="s">
        <v>37</v>
      </c>
      <c r="N13" s="6" t="s">
        <v>38</v>
      </c>
      <c r="O13" s="6" t="n">
        <v>2001</v>
      </c>
      <c r="P13" s="6" t="s">
        <v>157</v>
      </c>
      <c r="Q13" s="6" t="s">
        <v>158</v>
      </c>
      <c r="R13" s="6" t="s">
        <v>159</v>
      </c>
      <c r="S13" s="6" t="n">
        <v>2026</v>
      </c>
      <c r="T13" s="6" t="s">
        <v>33</v>
      </c>
      <c r="U13" s="6" t="s">
        <v>33</v>
      </c>
      <c r="V13" s="6" t="s">
        <v>155</v>
      </c>
      <c r="W13" s="6" t="s">
        <v>44</v>
      </c>
      <c r="X13" s="6" t="s">
        <v>160</v>
      </c>
      <c r="Y13" s="6" t="s">
        <v>46</v>
      </c>
      <c r="Z13" s="6"/>
    </row>
    <row r="14" customFormat="false" ht="49.5" hidden="false" customHeight="true" outlineLevel="0" collapsed="false">
      <c r="A14" s="3" t="n">
        <v>13</v>
      </c>
      <c r="B14" s="4" t="s">
        <v>161</v>
      </c>
      <c r="C14" s="3" t="s">
        <v>162</v>
      </c>
      <c r="D14" s="5" t="s">
        <v>28</v>
      </c>
      <c r="E14" s="3" t="s">
        <v>163</v>
      </c>
      <c r="F14" s="3" t="s">
        <v>33</v>
      </c>
      <c r="G14" s="3" t="s">
        <v>33</v>
      </c>
      <c r="H14" s="3" t="s">
        <v>164</v>
      </c>
      <c r="I14" s="3" t="s">
        <v>165</v>
      </c>
      <c r="J14" s="3" t="s">
        <v>102</v>
      </c>
      <c r="K14" s="3" t="s">
        <v>166</v>
      </c>
      <c r="L14" s="3" t="s">
        <v>167</v>
      </c>
      <c r="M14" s="3" t="s">
        <v>37</v>
      </c>
      <c r="N14" s="3" t="s">
        <v>81</v>
      </c>
      <c r="O14" s="3" t="n">
        <v>1984</v>
      </c>
      <c r="P14" s="3" t="s">
        <v>168</v>
      </c>
      <c r="Q14" s="3" t="s">
        <v>169</v>
      </c>
      <c r="R14" s="3" t="s">
        <v>84</v>
      </c>
      <c r="S14" s="3" t="n">
        <v>2026</v>
      </c>
      <c r="T14" s="3" t="s">
        <v>33</v>
      </c>
      <c r="U14" s="3" t="s">
        <v>170</v>
      </c>
      <c r="V14" s="3" t="s">
        <v>164</v>
      </c>
      <c r="W14" s="3" t="s">
        <v>44</v>
      </c>
      <c r="X14" s="3" t="s">
        <v>171</v>
      </c>
      <c r="Y14" s="3" t="s">
        <v>46</v>
      </c>
      <c r="Z14" s="3"/>
    </row>
    <row r="15" customFormat="false" ht="49.5" hidden="false" customHeight="true" outlineLevel="0" collapsed="false">
      <c r="A15" s="6" t="n">
        <v>14</v>
      </c>
      <c r="B15" s="7" t="s">
        <v>172</v>
      </c>
      <c r="C15" s="6" t="s">
        <v>33</v>
      </c>
      <c r="D15" s="8" t="s">
        <v>28</v>
      </c>
      <c r="E15" s="6" t="s">
        <v>33</v>
      </c>
      <c r="F15" s="6" t="s">
        <v>33</v>
      </c>
      <c r="G15" s="6" t="s">
        <v>33</v>
      </c>
      <c r="H15" s="6" t="s">
        <v>173</v>
      </c>
      <c r="I15" s="6" t="s">
        <v>33</v>
      </c>
      <c r="J15" s="6" t="s">
        <v>114</v>
      </c>
      <c r="K15" s="6" t="s">
        <v>174</v>
      </c>
      <c r="L15" s="6" t="s">
        <v>174</v>
      </c>
      <c r="M15" s="6" t="s">
        <v>53</v>
      </c>
      <c r="N15" s="6" t="s">
        <v>81</v>
      </c>
      <c r="O15" s="6" t="n">
        <v>2001</v>
      </c>
      <c r="P15" s="6" t="s">
        <v>175</v>
      </c>
      <c r="Q15" s="6" t="s">
        <v>176</v>
      </c>
      <c r="R15" s="6" t="s">
        <v>177</v>
      </c>
      <c r="S15" s="6" t="n">
        <v>2026</v>
      </c>
      <c r="T15" s="6" t="s">
        <v>33</v>
      </c>
      <c r="U15" s="6" t="s">
        <v>33</v>
      </c>
      <c r="V15" s="6" t="s">
        <v>173</v>
      </c>
      <c r="W15" s="6" t="s">
        <v>44</v>
      </c>
      <c r="X15" s="6" t="s">
        <v>178</v>
      </c>
      <c r="Y15" s="6" t="s">
        <v>46</v>
      </c>
      <c r="Z15" s="6"/>
    </row>
    <row r="16" customFormat="false" ht="49.5" hidden="false" customHeight="true" outlineLevel="0" collapsed="false">
      <c r="A16" s="3" t="n">
        <v>15</v>
      </c>
      <c r="B16" s="4" t="s">
        <v>179</v>
      </c>
      <c r="C16" s="3" t="s">
        <v>180</v>
      </c>
      <c r="D16" s="5" t="s">
        <v>28</v>
      </c>
      <c r="E16" s="3" t="s">
        <v>33</v>
      </c>
      <c r="F16" s="3" t="s">
        <v>33</v>
      </c>
      <c r="G16" s="3" t="s">
        <v>33</v>
      </c>
      <c r="H16" s="3" t="s">
        <v>181</v>
      </c>
      <c r="I16" s="3" t="s">
        <v>33</v>
      </c>
      <c r="J16" s="3" t="s">
        <v>114</v>
      </c>
      <c r="K16" s="3" t="s">
        <v>182</v>
      </c>
      <c r="L16" s="3" t="s">
        <v>183</v>
      </c>
      <c r="M16" s="3" t="s">
        <v>184</v>
      </c>
      <c r="N16" s="3" t="s">
        <v>81</v>
      </c>
      <c r="O16" s="3" t="n">
        <v>2022</v>
      </c>
      <c r="P16" s="3" t="s">
        <v>185</v>
      </c>
      <c r="Q16" s="3" t="s">
        <v>186</v>
      </c>
      <c r="R16" s="3" t="s">
        <v>187</v>
      </c>
      <c r="S16" s="3" t="n">
        <v>2026</v>
      </c>
      <c r="T16" s="3" t="s">
        <v>33</v>
      </c>
      <c r="U16" s="3" t="s">
        <v>33</v>
      </c>
      <c r="V16" s="3" t="s">
        <v>181</v>
      </c>
      <c r="W16" s="3" t="s">
        <v>44</v>
      </c>
      <c r="X16" s="3" t="s">
        <v>188</v>
      </c>
      <c r="Y16" s="3" t="s">
        <v>46</v>
      </c>
      <c r="Z16" s="3"/>
    </row>
    <row r="17" customFormat="false" ht="49.5" hidden="false" customHeight="true" outlineLevel="0" collapsed="false">
      <c r="A17" s="6" t="n">
        <v>16</v>
      </c>
      <c r="B17" s="7" t="s">
        <v>189</v>
      </c>
      <c r="C17" s="6" t="s">
        <v>190</v>
      </c>
      <c r="D17" s="8" t="s">
        <v>28</v>
      </c>
      <c r="E17" s="6" t="s">
        <v>33</v>
      </c>
      <c r="F17" s="6" t="s">
        <v>33</v>
      </c>
      <c r="G17" s="6" t="s">
        <v>33</v>
      </c>
      <c r="H17" s="6" t="s">
        <v>191</v>
      </c>
      <c r="I17" s="6" t="s">
        <v>33</v>
      </c>
      <c r="J17" s="6" t="s">
        <v>34</v>
      </c>
      <c r="K17" s="6" t="s">
        <v>192</v>
      </c>
      <c r="L17" s="6" t="s">
        <v>193</v>
      </c>
      <c r="M17" s="6" t="s">
        <v>53</v>
      </c>
      <c r="N17" s="6" t="s">
        <v>105</v>
      </c>
      <c r="O17" s="6" t="n">
        <v>2018</v>
      </c>
      <c r="P17" s="6" t="s">
        <v>194</v>
      </c>
      <c r="Q17" s="6" t="s">
        <v>195</v>
      </c>
      <c r="R17" s="6" t="s">
        <v>196</v>
      </c>
      <c r="S17" s="6" t="n">
        <v>2026</v>
      </c>
      <c r="T17" s="6" t="s">
        <v>33</v>
      </c>
      <c r="U17" s="6" t="s">
        <v>33</v>
      </c>
      <c r="V17" s="6" t="s">
        <v>191</v>
      </c>
      <c r="W17" s="6" t="s">
        <v>44</v>
      </c>
      <c r="X17" s="6" t="s">
        <v>197</v>
      </c>
      <c r="Y17" s="6" t="s">
        <v>46</v>
      </c>
      <c r="Z17" s="6"/>
    </row>
    <row r="18" customFormat="false" ht="49.5" hidden="false" customHeight="true" outlineLevel="0" collapsed="false">
      <c r="A18" s="3" t="n">
        <v>17</v>
      </c>
      <c r="B18" s="4" t="s">
        <v>198</v>
      </c>
      <c r="C18" s="3" t="s">
        <v>33</v>
      </c>
      <c r="D18" s="5" t="s">
        <v>28</v>
      </c>
      <c r="E18" s="3" t="s">
        <v>33</v>
      </c>
      <c r="F18" s="3" t="s">
        <v>33</v>
      </c>
      <c r="G18" s="3" t="s">
        <v>33</v>
      </c>
      <c r="H18" s="3" t="s">
        <v>199</v>
      </c>
      <c r="I18" s="3" t="s">
        <v>33</v>
      </c>
      <c r="J18" s="3" t="s">
        <v>114</v>
      </c>
      <c r="K18" s="3" t="s">
        <v>200</v>
      </c>
      <c r="L18" s="3" t="s">
        <v>174</v>
      </c>
      <c r="M18" s="3" t="s">
        <v>91</v>
      </c>
      <c r="N18" s="3" t="s">
        <v>201</v>
      </c>
      <c r="O18" s="3" t="n">
        <v>2015</v>
      </c>
      <c r="P18" s="3" t="s">
        <v>202</v>
      </c>
      <c r="Q18" s="3" t="s">
        <v>203</v>
      </c>
      <c r="R18" s="3" t="s">
        <v>196</v>
      </c>
      <c r="S18" s="3" t="n">
        <v>2026</v>
      </c>
      <c r="T18" s="3" t="s">
        <v>33</v>
      </c>
      <c r="U18" s="3" t="s">
        <v>33</v>
      </c>
      <c r="V18" s="3" t="s">
        <v>199</v>
      </c>
      <c r="W18" s="3" t="s">
        <v>44</v>
      </c>
      <c r="X18" s="3" t="s">
        <v>204</v>
      </c>
      <c r="Y18" s="3" t="s">
        <v>46</v>
      </c>
      <c r="Z18" s="3"/>
    </row>
    <row r="19" customFormat="false" ht="49.5" hidden="false" customHeight="true" outlineLevel="0" collapsed="false">
      <c r="A19" s="6" t="n">
        <v>18</v>
      </c>
      <c r="B19" s="7" t="s">
        <v>205</v>
      </c>
      <c r="C19" s="6" t="s">
        <v>206</v>
      </c>
      <c r="D19" s="8" t="s">
        <v>28</v>
      </c>
      <c r="E19" s="6" t="s">
        <v>207</v>
      </c>
      <c r="F19" s="6" t="s">
        <v>33</v>
      </c>
      <c r="G19" s="6" t="s">
        <v>33</v>
      </c>
      <c r="H19" s="6" t="s">
        <v>208</v>
      </c>
      <c r="I19" s="6" t="s">
        <v>33</v>
      </c>
      <c r="J19" s="6" t="s">
        <v>209</v>
      </c>
      <c r="K19" s="6" t="s">
        <v>210</v>
      </c>
      <c r="L19" s="6" t="s">
        <v>211</v>
      </c>
      <c r="M19" s="6" t="s">
        <v>37</v>
      </c>
      <c r="N19" s="6" t="s">
        <v>105</v>
      </c>
      <c r="O19" s="6" t="n">
        <v>1990</v>
      </c>
      <c r="P19" s="6" t="s">
        <v>212</v>
      </c>
      <c r="Q19" s="6" t="s">
        <v>213</v>
      </c>
      <c r="R19" s="6" t="s">
        <v>214</v>
      </c>
      <c r="S19" s="6" t="n">
        <v>2026</v>
      </c>
      <c r="T19" s="6" t="s">
        <v>215</v>
      </c>
      <c r="U19" s="6" t="s">
        <v>216</v>
      </c>
      <c r="V19" s="6" t="s">
        <v>217</v>
      </c>
      <c r="W19" s="6" t="s">
        <v>44</v>
      </c>
      <c r="X19" s="6" t="s">
        <v>218</v>
      </c>
      <c r="Y19" s="6" t="s">
        <v>46</v>
      </c>
      <c r="Z19" s="6"/>
    </row>
    <row r="20" customFormat="false" ht="49.5" hidden="false" customHeight="true" outlineLevel="0" collapsed="false">
      <c r="A20" s="3" t="n">
        <v>19</v>
      </c>
      <c r="B20" s="4" t="s">
        <v>219</v>
      </c>
      <c r="C20" s="3" t="s">
        <v>220</v>
      </c>
      <c r="D20" s="5" t="s">
        <v>28</v>
      </c>
      <c r="E20" s="3" t="s">
        <v>30</v>
      </c>
      <c r="F20" s="3" t="s">
        <v>33</v>
      </c>
      <c r="G20" s="3" t="s">
        <v>33</v>
      </c>
      <c r="H20" s="3" t="s">
        <v>33</v>
      </c>
      <c r="I20" s="3" t="s">
        <v>33</v>
      </c>
      <c r="J20" s="3" t="s">
        <v>34</v>
      </c>
      <c r="K20" s="3" t="s">
        <v>221</v>
      </c>
      <c r="L20" s="3" t="s">
        <v>90</v>
      </c>
      <c r="M20" s="3" t="s">
        <v>53</v>
      </c>
      <c r="N20" s="3" t="s">
        <v>38</v>
      </c>
      <c r="O20" s="3" t="n">
        <v>2005</v>
      </c>
      <c r="P20" s="3" t="s">
        <v>222</v>
      </c>
      <c r="Q20" s="3" t="s">
        <v>223</v>
      </c>
      <c r="R20" s="3" t="s">
        <v>196</v>
      </c>
      <c r="S20" s="3" t="n">
        <v>2026</v>
      </c>
      <c r="T20" s="3" t="s">
        <v>33</v>
      </c>
      <c r="U20" s="3" t="s">
        <v>33</v>
      </c>
      <c r="V20" s="3" t="s">
        <v>224</v>
      </c>
      <c r="W20" s="3" t="s">
        <v>44</v>
      </c>
      <c r="X20" s="3" t="s">
        <v>225</v>
      </c>
      <c r="Y20" s="3" t="s">
        <v>46</v>
      </c>
      <c r="Z20" s="3"/>
    </row>
    <row r="21" customFormat="false" ht="49.5" hidden="false" customHeight="true" outlineLevel="0" collapsed="false">
      <c r="A21" s="6" t="n">
        <v>20</v>
      </c>
      <c r="B21" s="7" t="s">
        <v>226</v>
      </c>
      <c r="C21" s="6" t="s">
        <v>33</v>
      </c>
      <c r="D21" s="8" t="s">
        <v>28</v>
      </c>
      <c r="E21" s="6" t="s">
        <v>33</v>
      </c>
      <c r="F21" s="6" t="s">
        <v>33</v>
      </c>
      <c r="G21" s="6" t="s">
        <v>33</v>
      </c>
      <c r="H21" s="6" t="s">
        <v>227</v>
      </c>
      <c r="I21" s="6" t="s">
        <v>33</v>
      </c>
      <c r="J21" s="6" t="s">
        <v>114</v>
      </c>
      <c r="K21" s="6" t="s">
        <v>228</v>
      </c>
      <c r="L21" s="6" t="s">
        <v>90</v>
      </c>
      <c r="M21" s="6" t="s">
        <v>104</v>
      </c>
      <c r="N21" s="6" t="s">
        <v>105</v>
      </c>
      <c r="O21" s="6" t="n">
        <v>2010</v>
      </c>
      <c r="P21" s="6" t="s">
        <v>229</v>
      </c>
      <c r="Q21" s="6" t="s">
        <v>230</v>
      </c>
      <c r="R21" s="6" t="s">
        <v>196</v>
      </c>
      <c r="S21" s="6" t="n">
        <v>2026</v>
      </c>
      <c r="T21" s="6" t="s">
        <v>33</v>
      </c>
      <c r="U21" s="6" t="s">
        <v>33</v>
      </c>
      <c r="V21" s="6" t="s">
        <v>227</v>
      </c>
      <c r="W21" s="6" t="s">
        <v>44</v>
      </c>
      <c r="X21" s="6" t="s">
        <v>231</v>
      </c>
      <c r="Y21" s="6" t="s">
        <v>46</v>
      </c>
      <c r="Z21" s="6"/>
    </row>
    <row r="22" customFormat="false" ht="49.5" hidden="false" customHeight="true" outlineLevel="0" collapsed="false">
      <c r="A22" s="3" t="n">
        <v>21</v>
      </c>
      <c r="B22" s="4" t="s">
        <v>232</v>
      </c>
      <c r="C22" s="3" t="s">
        <v>233</v>
      </c>
      <c r="D22" s="5" t="s">
        <v>28</v>
      </c>
      <c r="E22" s="3" t="s">
        <v>33</v>
      </c>
      <c r="F22" s="3" t="s">
        <v>33</v>
      </c>
      <c r="G22" s="3" t="s">
        <v>33</v>
      </c>
      <c r="H22" s="3" t="s">
        <v>33</v>
      </c>
      <c r="I22" s="3" t="s">
        <v>33</v>
      </c>
      <c r="J22" s="3" t="s">
        <v>34</v>
      </c>
      <c r="K22" s="3" t="s">
        <v>234</v>
      </c>
      <c r="L22" s="3" t="s">
        <v>235</v>
      </c>
      <c r="M22" s="3" t="s">
        <v>236</v>
      </c>
      <c r="N22" s="3" t="s">
        <v>38</v>
      </c>
      <c r="O22" s="3" t="n">
        <v>2005</v>
      </c>
      <c r="P22" s="3" t="s">
        <v>237</v>
      </c>
      <c r="Q22" s="3" t="s">
        <v>238</v>
      </c>
      <c r="R22" s="3" t="s">
        <v>196</v>
      </c>
      <c r="S22" s="3" t="n">
        <v>2028</v>
      </c>
      <c r="T22" s="3" t="s">
        <v>33</v>
      </c>
      <c r="U22" s="3" t="s">
        <v>33</v>
      </c>
      <c r="V22" s="3" t="s">
        <v>239</v>
      </c>
      <c r="W22" s="3" t="s">
        <v>44</v>
      </c>
      <c r="X22" s="3" t="s">
        <v>240</v>
      </c>
      <c r="Y22" s="3" t="s">
        <v>46</v>
      </c>
      <c r="Z22" s="3"/>
    </row>
    <row r="23" customFormat="false" ht="49.5" hidden="false" customHeight="true" outlineLevel="0" collapsed="false">
      <c r="A23" s="6" t="n">
        <v>22</v>
      </c>
      <c r="B23" s="7" t="s">
        <v>241</v>
      </c>
      <c r="C23" s="6" t="s">
        <v>233</v>
      </c>
      <c r="D23" s="8" t="s">
        <v>28</v>
      </c>
      <c r="E23" s="6" t="s">
        <v>33</v>
      </c>
      <c r="F23" s="6" t="s">
        <v>33</v>
      </c>
      <c r="G23" s="6" t="s">
        <v>33</v>
      </c>
      <c r="H23" s="6" t="s">
        <v>33</v>
      </c>
      <c r="I23" s="6" t="s">
        <v>33</v>
      </c>
      <c r="J23" s="6" t="s">
        <v>34</v>
      </c>
      <c r="K23" s="6" t="s">
        <v>234</v>
      </c>
      <c r="L23" s="6" t="s">
        <v>235</v>
      </c>
      <c r="M23" s="6" t="s">
        <v>236</v>
      </c>
      <c r="N23" s="6" t="s">
        <v>105</v>
      </c>
      <c r="O23" s="6" t="n">
        <v>2008</v>
      </c>
      <c r="P23" s="6" t="s">
        <v>237</v>
      </c>
      <c r="Q23" s="6" t="s">
        <v>242</v>
      </c>
      <c r="R23" s="6" t="s">
        <v>196</v>
      </c>
      <c r="S23" s="6" t="n">
        <v>2028</v>
      </c>
      <c r="T23" s="6" t="s">
        <v>33</v>
      </c>
      <c r="U23" s="6" t="s">
        <v>33</v>
      </c>
      <c r="V23" s="6" t="s">
        <v>239</v>
      </c>
      <c r="W23" s="6" t="s">
        <v>44</v>
      </c>
      <c r="X23" s="6" t="s">
        <v>243</v>
      </c>
      <c r="Y23" s="6" t="s">
        <v>46</v>
      </c>
      <c r="Z23" s="6"/>
    </row>
    <row r="24" customFormat="false" ht="49.5" hidden="false" customHeight="true" outlineLevel="0" collapsed="false">
      <c r="A24" s="3" t="n">
        <v>23</v>
      </c>
      <c r="B24" s="4" t="s">
        <v>244</v>
      </c>
      <c r="C24" s="3" t="s">
        <v>245</v>
      </c>
      <c r="D24" s="5" t="s">
        <v>28</v>
      </c>
      <c r="E24" s="3" t="s">
        <v>246</v>
      </c>
      <c r="F24" s="3" t="s">
        <v>33</v>
      </c>
      <c r="G24" s="3" t="s">
        <v>33</v>
      </c>
      <c r="H24" s="3" t="s">
        <v>33</v>
      </c>
      <c r="I24" s="3" t="s">
        <v>33</v>
      </c>
      <c r="J24" s="3" t="s">
        <v>34</v>
      </c>
      <c r="K24" s="3" t="s">
        <v>247</v>
      </c>
      <c r="L24" s="3" t="s">
        <v>248</v>
      </c>
      <c r="M24" s="3" t="s">
        <v>53</v>
      </c>
      <c r="N24" s="3" t="s">
        <v>81</v>
      </c>
      <c r="O24" s="3" t="n">
        <v>2000</v>
      </c>
      <c r="P24" s="3" t="s">
        <v>249</v>
      </c>
      <c r="Q24" s="3" t="s">
        <v>250</v>
      </c>
      <c r="R24" s="3" t="s">
        <v>196</v>
      </c>
      <c r="S24" s="3" t="n">
        <v>2025</v>
      </c>
      <c r="T24" s="3" t="s">
        <v>33</v>
      </c>
      <c r="U24" s="3" t="s">
        <v>33</v>
      </c>
      <c r="V24" s="3" t="s">
        <v>251</v>
      </c>
      <c r="W24" s="3" t="s">
        <v>44</v>
      </c>
      <c r="X24" s="3" t="s">
        <v>252</v>
      </c>
      <c r="Y24" s="3" t="s">
        <v>46</v>
      </c>
      <c r="Z24" s="3"/>
    </row>
    <row r="25" customFormat="false" ht="49.5" hidden="false" customHeight="true" outlineLevel="0" collapsed="false">
      <c r="A25" s="6" t="n">
        <v>24</v>
      </c>
      <c r="B25" s="7" t="s">
        <v>253</v>
      </c>
      <c r="C25" s="6" t="s">
        <v>254</v>
      </c>
      <c r="D25" s="8" t="s">
        <v>28</v>
      </c>
      <c r="E25" s="6" t="s">
        <v>33</v>
      </c>
      <c r="F25" s="6" t="s">
        <v>33</v>
      </c>
      <c r="G25" s="6" t="s">
        <v>33</v>
      </c>
      <c r="H25" s="6" t="s">
        <v>33</v>
      </c>
      <c r="I25" s="6" t="s">
        <v>33</v>
      </c>
      <c r="J25" s="6" t="s">
        <v>34</v>
      </c>
      <c r="K25" s="6" t="s">
        <v>228</v>
      </c>
      <c r="L25" s="6" t="s">
        <v>90</v>
      </c>
      <c r="M25" s="6" t="s">
        <v>53</v>
      </c>
      <c r="N25" s="6" t="s">
        <v>255</v>
      </c>
      <c r="O25" s="6" t="n">
        <v>2005</v>
      </c>
      <c r="P25" s="6" t="s">
        <v>256</v>
      </c>
      <c r="Q25" s="6" t="s">
        <v>257</v>
      </c>
      <c r="R25" s="6" t="s">
        <v>196</v>
      </c>
      <c r="S25" s="6" t="n">
        <v>2025</v>
      </c>
      <c r="T25" s="6" t="s">
        <v>33</v>
      </c>
      <c r="U25" s="6" t="s">
        <v>33</v>
      </c>
      <c r="V25" s="6" t="s">
        <v>258</v>
      </c>
      <c r="W25" s="6" t="s">
        <v>44</v>
      </c>
      <c r="X25" s="6" t="s">
        <v>259</v>
      </c>
      <c r="Y25" s="6" t="s">
        <v>46</v>
      </c>
      <c r="Z25" s="6"/>
    </row>
    <row r="26" customFormat="false" ht="49.5" hidden="false" customHeight="true" outlineLevel="0" collapsed="false">
      <c r="A26" s="9" t="n">
        <v>25</v>
      </c>
      <c r="B26" s="10" t="s">
        <v>260</v>
      </c>
      <c r="C26" s="9" t="s">
        <v>261</v>
      </c>
      <c r="D26" s="11" t="s">
        <v>262</v>
      </c>
      <c r="E26" s="9" t="s">
        <v>33</v>
      </c>
      <c r="F26" s="9" t="s">
        <v>33</v>
      </c>
      <c r="G26" s="9" t="s">
        <v>33</v>
      </c>
      <c r="H26" s="9" t="s">
        <v>33</v>
      </c>
      <c r="I26" s="9" t="s">
        <v>33</v>
      </c>
      <c r="J26" s="9" t="s">
        <v>114</v>
      </c>
      <c r="K26" s="9" t="s">
        <v>263</v>
      </c>
      <c r="L26" s="9" t="s">
        <v>174</v>
      </c>
      <c r="M26" s="9" t="s">
        <v>53</v>
      </c>
      <c r="N26" s="9" t="s">
        <v>81</v>
      </c>
      <c r="O26" s="9" t="n">
        <v>2010</v>
      </c>
      <c r="P26" s="9" t="s">
        <v>264</v>
      </c>
      <c r="Q26" s="9" t="s">
        <v>265</v>
      </c>
      <c r="R26" s="9" t="s">
        <v>187</v>
      </c>
      <c r="S26" s="9" t="n">
        <v>2024</v>
      </c>
      <c r="T26" s="9" t="s">
        <v>33</v>
      </c>
      <c r="U26" s="9" t="s">
        <v>33</v>
      </c>
      <c r="V26" s="9" t="s">
        <v>266</v>
      </c>
      <c r="W26" s="9" t="s">
        <v>267</v>
      </c>
      <c r="X26" s="9" t="s">
        <v>268</v>
      </c>
      <c r="Y26" s="9" t="s">
        <v>46</v>
      </c>
      <c r="Z26" s="9"/>
    </row>
    <row r="27" customFormat="false" ht="49.5" hidden="false" customHeight="true" outlineLevel="0" collapsed="false">
      <c r="A27" s="12" t="n">
        <v>26</v>
      </c>
      <c r="B27" s="12" t="s">
        <v>269</v>
      </c>
      <c r="C27" s="12" t="s">
        <v>270</v>
      </c>
      <c r="D27" s="13" t="s">
        <v>28</v>
      </c>
      <c r="E27" s="12" t="s">
        <v>271</v>
      </c>
      <c r="F27" s="12" t="s">
        <v>33</v>
      </c>
      <c r="G27" s="12" t="s">
        <v>272</v>
      </c>
      <c r="H27" s="12" t="s">
        <v>273</v>
      </c>
      <c r="I27" s="12" t="s">
        <v>33</v>
      </c>
      <c r="J27" s="12" t="s">
        <v>33</v>
      </c>
      <c r="K27" s="12" t="s">
        <v>274</v>
      </c>
      <c r="L27" s="12" t="s">
        <v>275</v>
      </c>
      <c r="M27" s="12" t="s">
        <v>276</v>
      </c>
      <c r="N27" s="12" t="s">
        <v>277</v>
      </c>
      <c r="O27" s="12" t="s">
        <v>278</v>
      </c>
      <c r="P27" s="12" t="s">
        <v>279</v>
      </c>
      <c r="Q27" s="12" t="s">
        <v>280</v>
      </c>
      <c r="R27" s="12" t="s">
        <v>281</v>
      </c>
      <c r="S27" s="12" t="s">
        <v>282</v>
      </c>
      <c r="T27" s="12" t="s">
        <v>283</v>
      </c>
      <c r="U27" s="12" t="s">
        <v>33</v>
      </c>
      <c r="V27" s="12" t="s">
        <v>273</v>
      </c>
      <c r="W27" s="12" t="s">
        <v>44</v>
      </c>
      <c r="X27" s="12" t="s">
        <v>284</v>
      </c>
      <c r="Y27" s="12" t="s">
        <v>285</v>
      </c>
      <c r="Z27" s="12"/>
    </row>
    <row r="28" customFormat="false" ht="49.5" hidden="false" customHeight="true" outlineLevel="0" collapsed="false">
      <c r="A28" s="14" t="n">
        <v>27</v>
      </c>
      <c r="B28" s="14" t="s">
        <v>286</v>
      </c>
      <c r="C28" s="14" t="s">
        <v>287</v>
      </c>
      <c r="D28" s="15" t="s">
        <v>28</v>
      </c>
      <c r="E28" s="14" t="s">
        <v>288</v>
      </c>
      <c r="F28" s="14" t="s">
        <v>33</v>
      </c>
      <c r="G28" s="14" t="s">
        <v>289</v>
      </c>
      <c r="H28" s="14" t="s">
        <v>290</v>
      </c>
      <c r="I28" s="14" t="s">
        <v>33</v>
      </c>
      <c r="J28" s="14" t="s">
        <v>33</v>
      </c>
      <c r="K28" s="14" t="s">
        <v>291</v>
      </c>
      <c r="L28" s="14" t="s">
        <v>292</v>
      </c>
      <c r="M28" s="14" t="s">
        <v>53</v>
      </c>
      <c r="N28" s="14" t="s">
        <v>277</v>
      </c>
      <c r="O28" s="14" t="s">
        <v>293</v>
      </c>
      <c r="P28" s="14" t="s">
        <v>294</v>
      </c>
      <c r="Q28" s="14" t="s">
        <v>295</v>
      </c>
      <c r="R28" s="14" t="s">
        <v>296</v>
      </c>
      <c r="S28" s="14" t="s">
        <v>282</v>
      </c>
      <c r="T28" s="14" t="s">
        <v>297</v>
      </c>
      <c r="U28" s="14" t="s">
        <v>33</v>
      </c>
      <c r="V28" s="14" t="s">
        <v>298</v>
      </c>
      <c r="W28" s="14" t="s">
        <v>44</v>
      </c>
      <c r="X28" s="14" t="s">
        <v>299</v>
      </c>
      <c r="Y28" s="14" t="s">
        <v>285</v>
      </c>
      <c r="Z28" s="14"/>
    </row>
    <row r="29" customFormat="false" ht="49.5" hidden="false" customHeight="true" outlineLevel="0" collapsed="false">
      <c r="A29" s="12" t="n">
        <v>28</v>
      </c>
      <c r="B29" s="12" t="s">
        <v>300</v>
      </c>
      <c r="C29" s="12" t="s">
        <v>301</v>
      </c>
      <c r="D29" s="13" t="s">
        <v>28</v>
      </c>
      <c r="E29" s="12" t="s">
        <v>302</v>
      </c>
      <c r="F29" s="12" t="s">
        <v>303</v>
      </c>
      <c r="G29" s="12" t="s">
        <v>304</v>
      </c>
      <c r="H29" s="12" t="s">
        <v>305</v>
      </c>
      <c r="I29" s="12" t="s">
        <v>306</v>
      </c>
      <c r="J29" s="12" t="s">
        <v>142</v>
      </c>
      <c r="K29" s="12" t="s">
        <v>307</v>
      </c>
      <c r="L29" s="12" t="s">
        <v>90</v>
      </c>
      <c r="M29" s="12" t="s">
        <v>308</v>
      </c>
      <c r="N29" s="12" t="s">
        <v>277</v>
      </c>
      <c r="O29" s="12" t="s">
        <v>309</v>
      </c>
      <c r="P29" s="12" t="s">
        <v>310</v>
      </c>
      <c r="Q29" s="12" t="s">
        <v>311</v>
      </c>
      <c r="R29" s="12" t="s">
        <v>312</v>
      </c>
      <c r="S29" s="12" t="s">
        <v>282</v>
      </c>
      <c r="T29" s="12" t="s">
        <v>313</v>
      </c>
      <c r="U29" s="12" t="s">
        <v>314</v>
      </c>
      <c r="V29" s="12" t="s">
        <v>305</v>
      </c>
      <c r="W29" s="12" t="s">
        <v>44</v>
      </c>
      <c r="X29" s="12" t="s">
        <v>315</v>
      </c>
      <c r="Y29" s="12" t="s">
        <v>285</v>
      </c>
      <c r="Z29" s="12"/>
    </row>
    <row r="30" customFormat="false" ht="49.5" hidden="false" customHeight="true" outlineLevel="0" collapsed="false">
      <c r="A30" s="14" t="n">
        <v>29</v>
      </c>
      <c r="B30" s="14" t="s">
        <v>316</v>
      </c>
      <c r="C30" s="14" t="s">
        <v>317</v>
      </c>
      <c r="D30" s="15" t="s">
        <v>28</v>
      </c>
      <c r="E30" s="14" t="s">
        <v>318</v>
      </c>
      <c r="F30" s="14" t="s">
        <v>33</v>
      </c>
      <c r="G30" s="14" t="s">
        <v>319</v>
      </c>
      <c r="H30" s="14" t="s">
        <v>320</v>
      </c>
      <c r="I30" s="14" t="s">
        <v>33</v>
      </c>
      <c r="J30" s="14" t="s">
        <v>33</v>
      </c>
      <c r="K30" s="14" t="s">
        <v>321</v>
      </c>
      <c r="L30" s="14" t="s">
        <v>193</v>
      </c>
      <c r="M30" s="14" t="s">
        <v>53</v>
      </c>
      <c r="N30" s="14" t="s">
        <v>277</v>
      </c>
      <c r="O30" s="14" t="s">
        <v>322</v>
      </c>
      <c r="P30" s="14" t="s">
        <v>323</v>
      </c>
      <c r="Q30" s="14" t="s">
        <v>324</v>
      </c>
      <c r="R30" s="14" t="s">
        <v>325</v>
      </c>
      <c r="S30" s="14" t="s">
        <v>282</v>
      </c>
      <c r="T30" s="14" t="s">
        <v>33</v>
      </c>
      <c r="U30" s="14" t="s">
        <v>33</v>
      </c>
      <c r="V30" s="14" t="s">
        <v>326</v>
      </c>
      <c r="W30" s="14" t="s">
        <v>44</v>
      </c>
      <c r="X30" s="14" t="s">
        <v>327</v>
      </c>
      <c r="Y30" s="14" t="s">
        <v>285</v>
      </c>
      <c r="Z30" s="14"/>
    </row>
    <row r="31" customFormat="false" ht="49.5" hidden="false" customHeight="true" outlineLevel="0" collapsed="false">
      <c r="A31" s="12" t="n">
        <v>30</v>
      </c>
      <c r="B31" s="12" t="s">
        <v>328</v>
      </c>
      <c r="C31" s="12" t="s">
        <v>329</v>
      </c>
      <c r="D31" s="13" t="s">
        <v>28</v>
      </c>
      <c r="E31" s="12" t="s">
        <v>330</v>
      </c>
      <c r="F31" s="12" t="s">
        <v>33</v>
      </c>
      <c r="G31" s="12" t="s">
        <v>331</v>
      </c>
      <c r="H31" s="12" t="s">
        <v>332</v>
      </c>
      <c r="I31" s="12" t="s">
        <v>33</v>
      </c>
      <c r="J31" s="12" t="s">
        <v>33</v>
      </c>
      <c r="K31" s="12" t="s">
        <v>333</v>
      </c>
      <c r="L31" s="12" t="s">
        <v>193</v>
      </c>
      <c r="M31" s="12" t="s">
        <v>53</v>
      </c>
      <c r="N31" s="12" t="s">
        <v>105</v>
      </c>
      <c r="O31" s="12" t="s">
        <v>334</v>
      </c>
      <c r="P31" s="12" t="s">
        <v>335</v>
      </c>
      <c r="Q31" s="12" t="s">
        <v>336</v>
      </c>
      <c r="R31" s="12" t="s">
        <v>337</v>
      </c>
      <c r="S31" s="12" t="s">
        <v>282</v>
      </c>
      <c r="T31" s="12" t="s">
        <v>33</v>
      </c>
      <c r="U31" s="12" t="s">
        <v>33</v>
      </c>
      <c r="V31" s="12" t="s">
        <v>338</v>
      </c>
      <c r="W31" s="12" t="s">
        <v>44</v>
      </c>
      <c r="X31" s="12" t="s">
        <v>339</v>
      </c>
      <c r="Y31" s="12" t="s">
        <v>285</v>
      </c>
      <c r="Z31" s="12"/>
    </row>
    <row r="32" customFormat="false" ht="49.5" hidden="false" customHeight="true" outlineLevel="0" collapsed="false">
      <c r="A32" s="14" t="n">
        <v>31</v>
      </c>
      <c r="B32" s="14" t="s">
        <v>340</v>
      </c>
      <c r="C32" s="14" t="s">
        <v>341</v>
      </c>
      <c r="D32" s="15" t="s">
        <v>28</v>
      </c>
      <c r="E32" s="14" t="s">
        <v>342</v>
      </c>
      <c r="F32" s="14" t="s">
        <v>33</v>
      </c>
      <c r="G32" s="14" t="s">
        <v>343</v>
      </c>
      <c r="H32" s="14" t="s">
        <v>33</v>
      </c>
      <c r="I32" s="14" t="s">
        <v>33</v>
      </c>
      <c r="J32" s="14" t="s">
        <v>33</v>
      </c>
      <c r="K32" s="14" t="s">
        <v>344</v>
      </c>
      <c r="L32" s="14" t="s">
        <v>193</v>
      </c>
      <c r="M32" s="14" t="s">
        <v>53</v>
      </c>
      <c r="N32" s="14" t="s">
        <v>277</v>
      </c>
      <c r="O32" s="14" t="s">
        <v>345</v>
      </c>
      <c r="P32" s="14" t="s">
        <v>346</v>
      </c>
      <c r="Q32" s="14" t="s">
        <v>347</v>
      </c>
      <c r="R32" s="14" t="s">
        <v>94</v>
      </c>
      <c r="S32" s="14" t="s">
        <v>282</v>
      </c>
      <c r="T32" s="14" t="s">
        <v>33</v>
      </c>
      <c r="U32" s="14" t="s">
        <v>33</v>
      </c>
      <c r="V32" s="14" t="s">
        <v>348</v>
      </c>
      <c r="W32" s="14" t="s">
        <v>44</v>
      </c>
      <c r="X32" s="14" t="s">
        <v>349</v>
      </c>
      <c r="Y32" s="14" t="s">
        <v>285</v>
      </c>
      <c r="Z32" s="14"/>
    </row>
    <row r="33" customFormat="false" ht="49.5" hidden="false" customHeight="true" outlineLevel="0" collapsed="false">
      <c r="A33" s="12" t="n">
        <v>32</v>
      </c>
      <c r="B33" s="12" t="s">
        <v>350</v>
      </c>
      <c r="C33" s="12" t="s">
        <v>351</v>
      </c>
      <c r="D33" s="13" t="s">
        <v>28</v>
      </c>
      <c r="E33" s="12" t="s">
        <v>352</v>
      </c>
      <c r="F33" s="12" t="s">
        <v>353</v>
      </c>
      <c r="G33" s="12" t="s">
        <v>354</v>
      </c>
      <c r="H33" s="12" t="s">
        <v>355</v>
      </c>
      <c r="I33" s="12" t="s">
        <v>33</v>
      </c>
      <c r="J33" s="12" t="s">
        <v>33</v>
      </c>
      <c r="K33" s="12" t="s">
        <v>356</v>
      </c>
      <c r="L33" s="12" t="s">
        <v>357</v>
      </c>
      <c r="M33" s="12" t="s">
        <v>53</v>
      </c>
      <c r="N33" s="12" t="s">
        <v>105</v>
      </c>
      <c r="O33" s="12" t="s">
        <v>358</v>
      </c>
      <c r="P33" s="12" t="s">
        <v>359</v>
      </c>
      <c r="Q33" s="12" t="s">
        <v>360</v>
      </c>
      <c r="R33" s="12" t="s">
        <v>361</v>
      </c>
      <c r="S33" s="12" t="s">
        <v>282</v>
      </c>
      <c r="T33" s="12" t="s">
        <v>33</v>
      </c>
      <c r="U33" s="12" t="s">
        <v>362</v>
      </c>
      <c r="V33" s="12" t="s">
        <v>363</v>
      </c>
      <c r="W33" s="12" t="s">
        <v>44</v>
      </c>
      <c r="X33" s="12" t="s">
        <v>364</v>
      </c>
      <c r="Y33" s="12" t="s">
        <v>285</v>
      </c>
      <c r="Z33" s="12"/>
    </row>
    <row r="34" customFormat="false" ht="49.5" hidden="false" customHeight="true" outlineLevel="0" collapsed="false">
      <c r="A34" s="14" t="n">
        <v>33</v>
      </c>
      <c r="B34" s="14" t="s">
        <v>365</v>
      </c>
      <c r="C34" s="14" t="s">
        <v>366</v>
      </c>
      <c r="D34" s="15" t="s">
        <v>28</v>
      </c>
      <c r="E34" s="14" t="s">
        <v>367</v>
      </c>
      <c r="F34" s="14" t="s">
        <v>368</v>
      </c>
      <c r="G34" s="14" t="s">
        <v>369</v>
      </c>
      <c r="H34" s="14" t="s">
        <v>370</v>
      </c>
      <c r="I34" s="14" t="s">
        <v>33</v>
      </c>
      <c r="J34" s="14" t="s">
        <v>33</v>
      </c>
      <c r="K34" s="14" t="s">
        <v>371</v>
      </c>
      <c r="L34" s="14" t="s">
        <v>193</v>
      </c>
      <c r="M34" s="14" t="s">
        <v>53</v>
      </c>
      <c r="N34" s="14" t="s">
        <v>277</v>
      </c>
      <c r="O34" s="14" t="s">
        <v>372</v>
      </c>
      <c r="P34" s="14" t="s">
        <v>373</v>
      </c>
      <c r="Q34" s="14" t="s">
        <v>374</v>
      </c>
      <c r="R34" s="14" t="s">
        <v>337</v>
      </c>
      <c r="S34" s="14" t="s">
        <v>282</v>
      </c>
      <c r="T34" s="14" t="s">
        <v>375</v>
      </c>
      <c r="U34" s="14" t="s">
        <v>33</v>
      </c>
      <c r="V34" s="14" t="s">
        <v>376</v>
      </c>
      <c r="W34" s="14" t="s">
        <v>44</v>
      </c>
      <c r="X34" s="14" t="s">
        <v>377</v>
      </c>
      <c r="Y34" s="14" t="s">
        <v>285</v>
      </c>
      <c r="Z34" s="14"/>
    </row>
    <row r="35" customFormat="false" ht="49.5" hidden="false" customHeight="true" outlineLevel="0" collapsed="false">
      <c r="A35" s="12" t="n">
        <v>34</v>
      </c>
      <c r="B35" s="12" t="s">
        <v>378</v>
      </c>
      <c r="C35" s="12" t="s">
        <v>379</v>
      </c>
      <c r="D35" s="13" t="s">
        <v>28</v>
      </c>
      <c r="E35" s="12" t="s">
        <v>380</v>
      </c>
      <c r="F35" s="12" t="s">
        <v>33</v>
      </c>
      <c r="G35" s="12" t="s">
        <v>381</v>
      </c>
      <c r="H35" s="12" t="s">
        <v>33</v>
      </c>
      <c r="I35" s="12" t="s">
        <v>33</v>
      </c>
      <c r="J35" s="12" t="s">
        <v>33</v>
      </c>
      <c r="K35" s="12" t="s">
        <v>382</v>
      </c>
      <c r="L35" s="12" t="s">
        <v>193</v>
      </c>
      <c r="M35" s="12" t="s">
        <v>53</v>
      </c>
      <c r="N35" s="12" t="s">
        <v>105</v>
      </c>
      <c r="O35" s="12" t="s">
        <v>383</v>
      </c>
      <c r="P35" s="12" t="s">
        <v>384</v>
      </c>
      <c r="Q35" s="12" t="s">
        <v>385</v>
      </c>
      <c r="R35" s="12" t="s">
        <v>94</v>
      </c>
      <c r="S35" s="12" t="s">
        <v>386</v>
      </c>
      <c r="T35" s="12" t="s">
        <v>33</v>
      </c>
      <c r="U35" s="12" t="s">
        <v>33</v>
      </c>
      <c r="V35" s="12" t="s">
        <v>387</v>
      </c>
      <c r="W35" s="12" t="s">
        <v>44</v>
      </c>
      <c r="X35" s="12" t="s">
        <v>388</v>
      </c>
      <c r="Y35" s="12" t="s">
        <v>285</v>
      </c>
      <c r="Z35" s="12"/>
    </row>
    <row r="36" customFormat="false" ht="49.5" hidden="false" customHeight="true" outlineLevel="0" collapsed="false">
      <c r="A36" s="14" t="n">
        <v>35</v>
      </c>
      <c r="B36" s="14" t="s">
        <v>389</v>
      </c>
      <c r="C36" s="14" t="s">
        <v>390</v>
      </c>
      <c r="D36" s="15" t="s">
        <v>28</v>
      </c>
      <c r="E36" s="14" t="s">
        <v>391</v>
      </c>
      <c r="F36" s="14" t="s">
        <v>392</v>
      </c>
      <c r="G36" s="14" t="s">
        <v>393</v>
      </c>
      <c r="H36" s="14" t="s">
        <v>394</v>
      </c>
      <c r="I36" s="14" t="s">
        <v>33</v>
      </c>
      <c r="J36" s="14" t="s">
        <v>33</v>
      </c>
      <c r="K36" s="14" t="s">
        <v>395</v>
      </c>
      <c r="L36" s="14" t="s">
        <v>193</v>
      </c>
      <c r="M36" s="14" t="s">
        <v>53</v>
      </c>
      <c r="N36" s="14" t="s">
        <v>277</v>
      </c>
      <c r="O36" s="14" t="s">
        <v>396</v>
      </c>
      <c r="P36" s="14" t="s">
        <v>397</v>
      </c>
      <c r="Q36" s="14" t="s">
        <v>398</v>
      </c>
      <c r="R36" s="14" t="s">
        <v>399</v>
      </c>
      <c r="S36" s="14" t="s">
        <v>282</v>
      </c>
      <c r="T36" s="14" t="s">
        <v>400</v>
      </c>
      <c r="U36" s="14" t="s">
        <v>401</v>
      </c>
      <c r="V36" s="14" t="s">
        <v>394</v>
      </c>
      <c r="W36" s="14" t="s">
        <v>44</v>
      </c>
      <c r="X36" s="14" t="s">
        <v>402</v>
      </c>
      <c r="Y36" s="14" t="s">
        <v>285</v>
      </c>
      <c r="Z36" s="14"/>
    </row>
    <row r="37" customFormat="false" ht="49.5" hidden="false" customHeight="true" outlineLevel="0" collapsed="false">
      <c r="A37" s="12" t="n">
        <v>36</v>
      </c>
      <c r="B37" s="12" t="s">
        <v>403</v>
      </c>
      <c r="C37" s="12" t="s">
        <v>404</v>
      </c>
      <c r="D37" s="13" t="s">
        <v>28</v>
      </c>
      <c r="E37" s="12" t="s">
        <v>405</v>
      </c>
      <c r="F37" s="12" t="s">
        <v>33</v>
      </c>
      <c r="G37" s="12" t="s">
        <v>406</v>
      </c>
      <c r="H37" s="12" t="s">
        <v>33</v>
      </c>
      <c r="I37" s="12" t="s">
        <v>33</v>
      </c>
      <c r="J37" s="12" t="s">
        <v>33</v>
      </c>
      <c r="K37" s="12" t="s">
        <v>407</v>
      </c>
      <c r="L37" s="12" t="s">
        <v>193</v>
      </c>
      <c r="M37" s="12" t="s">
        <v>53</v>
      </c>
      <c r="N37" s="12" t="s">
        <v>105</v>
      </c>
      <c r="O37" s="12" t="s">
        <v>408</v>
      </c>
      <c r="P37" s="12" t="s">
        <v>409</v>
      </c>
      <c r="Q37" s="12" t="s">
        <v>410</v>
      </c>
      <c r="R37" s="12" t="s">
        <v>325</v>
      </c>
      <c r="S37" s="12" t="s">
        <v>386</v>
      </c>
      <c r="T37" s="12" t="s">
        <v>33</v>
      </c>
      <c r="U37" s="12" t="s">
        <v>33</v>
      </c>
      <c r="V37" s="12" t="s">
        <v>411</v>
      </c>
      <c r="W37" s="12" t="s">
        <v>44</v>
      </c>
      <c r="X37" s="12" t="s">
        <v>412</v>
      </c>
      <c r="Y37" s="12" t="s">
        <v>285</v>
      </c>
      <c r="Z37" s="12"/>
    </row>
    <row r="38" customFormat="false" ht="49.5" hidden="false" customHeight="true" outlineLevel="0" collapsed="false">
      <c r="A38" s="14" t="n">
        <v>37</v>
      </c>
      <c r="B38" s="14" t="s">
        <v>413</v>
      </c>
      <c r="C38" s="14" t="s">
        <v>414</v>
      </c>
      <c r="D38" s="15" t="s">
        <v>28</v>
      </c>
      <c r="E38" s="14" t="s">
        <v>415</v>
      </c>
      <c r="F38" s="14" t="s">
        <v>33</v>
      </c>
      <c r="G38" s="14" t="s">
        <v>416</v>
      </c>
      <c r="H38" s="14" t="s">
        <v>33</v>
      </c>
      <c r="I38" s="14" t="s">
        <v>33</v>
      </c>
      <c r="J38" s="14" t="s">
        <v>33</v>
      </c>
      <c r="K38" s="14" t="s">
        <v>417</v>
      </c>
      <c r="L38" s="14" t="s">
        <v>193</v>
      </c>
      <c r="M38" s="14" t="s">
        <v>53</v>
      </c>
      <c r="N38" s="14" t="s">
        <v>105</v>
      </c>
      <c r="O38" s="14" t="s">
        <v>418</v>
      </c>
      <c r="P38" s="14" t="s">
        <v>419</v>
      </c>
      <c r="Q38" s="14" t="s">
        <v>420</v>
      </c>
      <c r="R38" s="14" t="s">
        <v>337</v>
      </c>
      <c r="S38" s="14" t="s">
        <v>282</v>
      </c>
      <c r="T38" s="14" t="s">
        <v>33</v>
      </c>
      <c r="U38" s="14" t="s">
        <v>33</v>
      </c>
      <c r="V38" s="14" t="s">
        <v>421</v>
      </c>
      <c r="W38" s="14" t="s">
        <v>44</v>
      </c>
      <c r="X38" s="14" t="s">
        <v>422</v>
      </c>
      <c r="Y38" s="14" t="s">
        <v>285</v>
      </c>
      <c r="Z38" s="14"/>
    </row>
    <row r="39" customFormat="false" ht="49.5" hidden="false" customHeight="true" outlineLevel="0" collapsed="false">
      <c r="A39" s="12" t="n">
        <v>38</v>
      </c>
      <c r="B39" s="12" t="s">
        <v>423</v>
      </c>
      <c r="C39" s="12" t="s">
        <v>424</v>
      </c>
      <c r="D39" s="13" t="s">
        <v>28</v>
      </c>
      <c r="E39" s="12" t="s">
        <v>425</v>
      </c>
      <c r="F39" s="12" t="s">
        <v>33</v>
      </c>
      <c r="G39" s="12" t="s">
        <v>426</v>
      </c>
      <c r="H39" s="12" t="s">
        <v>33</v>
      </c>
      <c r="I39" s="12" t="s">
        <v>33</v>
      </c>
      <c r="J39" s="12" t="s">
        <v>33</v>
      </c>
      <c r="K39" s="12" t="s">
        <v>427</v>
      </c>
      <c r="L39" s="12" t="s">
        <v>90</v>
      </c>
      <c r="M39" s="12" t="s">
        <v>53</v>
      </c>
      <c r="N39" s="12" t="s">
        <v>105</v>
      </c>
      <c r="O39" s="12" t="s">
        <v>334</v>
      </c>
      <c r="P39" s="12" t="s">
        <v>428</v>
      </c>
      <c r="Q39" s="12" t="s">
        <v>429</v>
      </c>
      <c r="R39" s="12" t="s">
        <v>94</v>
      </c>
      <c r="S39" s="12" t="s">
        <v>386</v>
      </c>
      <c r="T39" s="12" t="s">
        <v>33</v>
      </c>
      <c r="U39" s="12" t="s">
        <v>33</v>
      </c>
      <c r="V39" s="12" t="s">
        <v>430</v>
      </c>
      <c r="W39" s="12" t="s">
        <v>44</v>
      </c>
      <c r="X39" s="12" t="s">
        <v>431</v>
      </c>
      <c r="Y39" s="12" t="s">
        <v>285</v>
      </c>
      <c r="Z39" s="12"/>
    </row>
    <row r="40" customFormat="false" ht="49.5" hidden="false" customHeight="true" outlineLevel="0" collapsed="false">
      <c r="A40" s="14" t="n">
        <v>39</v>
      </c>
      <c r="B40" s="14" t="s">
        <v>432</v>
      </c>
      <c r="C40" s="14" t="s">
        <v>433</v>
      </c>
      <c r="D40" s="15" t="s">
        <v>28</v>
      </c>
      <c r="E40" s="14" t="s">
        <v>434</v>
      </c>
      <c r="F40" s="14" t="s">
        <v>435</v>
      </c>
      <c r="G40" s="14" t="s">
        <v>436</v>
      </c>
      <c r="H40" s="14" t="s">
        <v>437</v>
      </c>
      <c r="I40" s="14" t="s">
        <v>33</v>
      </c>
      <c r="J40" s="14" t="s">
        <v>33</v>
      </c>
      <c r="K40" s="14" t="s">
        <v>438</v>
      </c>
      <c r="L40" s="14" t="s">
        <v>90</v>
      </c>
      <c r="M40" s="14" t="s">
        <v>53</v>
      </c>
      <c r="N40" s="14" t="s">
        <v>105</v>
      </c>
      <c r="O40" s="14" t="s">
        <v>439</v>
      </c>
      <c r="P40" s="14" t="s">
        <v>440</v>
      </c>
      <c r="Q40" s="14" t="s">
        <v>441</v>
      </c>
      <c r="R40" s="14" t="s">
        <v>325</v>
      </c>
      <c r="S40" s="14" t="s">
        <v>282</v>
      </c>
      <c r="T40" s="14" t="s">
        <v>33</v>
      </c>
      <c r="U40" s="14" t="s">
        <v>442</v>
      </c>
      <c r="V40" s="14" t="s">
        <v>443</v>
      </c>
      <c r="W40" s="14" t="s">
        <v>44</v>
      </c>
      <c r="X40" s="14" t="s">
        <v>444</v>
      </c>
      <c r="Y40" s="14" t="s">
        <v>285</v>
      </c>
      <c r="Z40" s="14"/>
    </row>
    <row r="41" customFormat="false" ht="49.5" hidden="false" customHeight="true" outlineLevel="0" collapsed="false">
      <c r="A41" s="12" t="n">
        <v>40</v>
      </c>
      <c r="B41" s="12" t="s">
        <v>445</v>
      </c>
      <c r="C41" s="12" t="s">
        <v>446</v>
      </c>
      <c r="D41" s="13" t="s">
        <v>28</v>
      </c>
      <c r="E41" s="12" t="s">
        <v>447</v>
      </c>
      <c r="F41" s="12" t="s">
        <v>33</v>
      </c>
      <c r="G41" s="12" t="s">
        <v>448</v>
      </c>
      <c r="H41" s="12" t="s">
        <v>449</v>
      </c>
      <c r="I41" s="12" t="s">
        <v>33</v>
      </c>
      <c r="J41" s="12" t="s">
        <v>33</v>
      </c>
      <c r="K41" s="12" t="s">
        <v>450</v>
      </c>
      <c r="L41" s="12" t="s">
        <v>90</v>
      </c>
      <c r="M41" s="12" t="s">
        <v>308</v>
      </c>
      <c r="N41" s="12" t="s">
        <v>105</v>
      </c>
      <c r="O41" s="12" t="s">
        <v>451</v>
      </c>
      <c r="P41" s="12" t="s">
        <v>452</v>
      </c>
      <c r="Q41" s="12" t="s">
        <v>453</v>
      </c>
      <c r="R41" s="12" t="s">
        <v>454</v>
      </c>
      <c r="S41" s="12" t="s">
        <v>282</v>
      </c>
      <c r="T41" s="12" t="s">
        <v>33</v>
      </c>
      <c r="U41" s="12" t="s">
        <v>33</v>
      </c>
      <c r="V41" s="12" t="s">
        <v>455</v>
      </c>
      <c r="W41" s="12" t="s">
        <v>44</v>
      </c>
      <c r="X41" s="12" t="s">
        <v>456</v>
      </c>
      <c r="Y41" s="12" t="s">
        <v>285</v>
      </c>
      <c r="Z41" s="12"/>
    </row>
    <row r="42" customFormat="false" ht="49.5" hidden="false" customHeight="true" outlineLevel="0" collapsed="false">
      <c r="A42" s="14" t="n">
        <v>41</v>
      </c>
      <c r="B42" s="14" t="s">
        <v>457</v>
      </c>
      <c r="C42" s="14" t="s">
        <v>458</v>
      </c>
      <c r="D42" s="15" t="s">
        <v>28</v>
      </c>
      <c r="E42" s="14" t="s">
        <v>459</v>
      </c>
      <c r="F42" s="14" t="s">
        <v>460</v>
      </c>
      <c r="G42" s="14" t="s">
        <v>461</v>
      </c>
      <c r="H42" s="14" t="s">
        <v>462</v>
      </c>
      <c r="I42" s="14" t="s">
        <v>33</v>
      </c>
      <c r="J42" s="14" t="s">
        <v>33</v>
      </c>
      <c r="K42" s="14" t="s">
        <v>463</v>
      </c>
      <c r="L42" s="14" t="s">
        <v>183</v>
      </c>
      <c r="M42" s="14" t="s">
        <v>464</v>
      </c>
      <c r="N42" s="14" t="s">
        <v>201</v>
      </c>
      <c r="O42" s="14" t="s">
        <v>345</v>
      </c>
      <c r="P42" s="14" t="s">
        <v>465</v>
      </c>
      <c r="Q42" s="14" t="s">
        <v>466</v>
      </c>
      <c r="R42" s="14" t="s">
        <v>467</v>
      </c>
      <c r="S42" s="14" t="s">
        <v>282</v>
      </c>
      <c r="T42" s="14" t="s">
        <v>33</v>
      </c>
      <c r="U42" s="14" t="s">
        <v>468</v>
      </c>
      <c r="V42" s="14" t="s">
        <v>469</v>
      </c>
      <c r="W42" s="14" t="s">
        <v>44</v>
      </c>
      <c r="X42" s="14" t="s">
        <v>470</v>
      </c>
      <c r="Y42" s="14" t="s">
        <v>285</v>
      </c>
      <c r="Z42" s="14"/>
    </row>
    <row r="43" customFormat="false" ht="49.5" hidden="false" customHeight="true" outlineLevel="0" collapsed="false">
      <c r="A43" s="12" t="n">
        <v>42</v>
      </c>
      <c r="B43" s="12" t="s">
        <v>471</v>
      </c>
      <c r="C43" s="12" t="s">
        <v>472</v>
      </c>
      <c r="D43" s="13" t="s">
        <v>28</v>
      </c>
      <c r="E43" s="12" t="s">
        <v>473</v>
      </c>
      <c r="F43" s="12" t="s">
        <v>33</v>
      </c>
      <c r="G43" s="12" t="s">
        <v>474</v>
      </c>
      <c r="H43" s="12" t="s">
        <v>33</v>
      </c>
      <c r="I43" s="12" t="s">
        <v>33</v>
      </c>
      <c r="J43" s="12" t="s">
        <v>33</v>
      </c>
      <c r="K43" s="12" t="s">
        <v>475</v>
      </c>
      <c r="L43" s="12" t="s">
        <v>476</v>
      </c>
      <c r="M43" s="12" t="s">
        <v>53</v>
      </c>
      <c r="N43" s="12" t="s">
        <v>201</v>
      </c>
      <c r="O43" s="12" t="s">
        <v>372</v>
      </c>
      <c r="P43" s="12" t="s">
        <v>477</v>
      </c>
      <c r="Q43" s="12" t="s">
        <v>478</v>
      </c>
      <c r="R43" s="12" t="s">
        <v>337</v>
      </c>
      <c r="S43" s="12" t="s">
        <v>282</v>
      </c>
      <c r="T43" s="12" t="s">
        <v>33</v>
      </c>
      <c r="U43" s="12" t="s">
        <v>33</v>
      </c>
      <c r="V43" s="12" t="s">
        <v>479</v>
      </c>
      <c r="W43" s="12" t="s">
        <v>44</v>
      </c>
      <c r="X43" s="12" t="s">
        <v>480</v>
      </c>
      <c r="Y43" s="12" t="s">
        <v>285</v>
      </c>
      <c r="Z43" s="12"/>
    </row>
    <row r="44" customFormat="false" ht="49.5" hidden="false" customHeight="true" outlineLevel="0" collapsed="false">
      <c r="A44" s="14" t="n">
        <v>43</v>
      </c>
      <c r="B44" s="14" t="s">
        <v>481</v>
      </c>
      <c r="C44" s="14" t="s">
        <v>482</v>
      </c>
      <c r="D44" s="15" t="s">
        <v>28</v>
      </c>
      <c r="E44" s="14" t="s">
        <v>483</v>
      </c>
      <c r="F44" s="14" t="s">
        <v>484</v>
      </c>
      <c r="G44" s="14" t="s">
        <v>485</v>
      </c>
      <c r="H44" s="14" t="s">
        <v>33</v>
      </c>
      <c r="I44" s="14" t="s">
        <v>33</v>
      </c>
      <c r="J44" s="14" t="s">
        <v>33</v>
      </c>
      <c r="K44" s="14" t="s">
        <v>486</v>
      </c>
      <c r="L44" s="14" t="s">
        <v>235</v>
      </c>
      <c r="M44" s="14" t="s">
        <v>308</v>
      </c>
      <c r="N44" s="14" t="s">
        <v>277</v>
      </c>
      <c r="O44" s="14" t="s">
        <v>293</v>
      </c>
      <c r="P44" s="14" t="s">
        <v>487</v>
      </c>
      <c r="Q44" s="14" t="s">
        <v>488</v>
      </c>
      <c r="R44" s="14" t="s">
        <v>454</v>
      </c>
      <c r="S44" s="14" t="s">
        <v>282</v>
      </c>
      <c r="T44" s="14" t="s">
        <v>33</v>
      </c>
      <c r="U44" s="14" t="s">
        <v>33</v>
      </c>
      <c r="V44" s="14" t="s">
        <v>489</v>
      </c>
      <c r="W44" s="14" t="s">
        <v>44</v>
      </c>
      <c r="X44" s="14" t="s">
        <v>490</v>
      </c>
      <c r="Y44" s="14" t="s">
        <v>285</v>
      </c>
      <c r="Z44" s="14"/>
    </row>
    <row r="45" customFormat="false" ht="49.5" hidden="false" customHeight="true" outlineLevel="0" collapsed="false">
      <c r="A45" s="12" t="n">
        <v>44</v>
      </c>
      <c r="B45" s="12" t="s">
        <v>491</v>
      </c>
      <c r="C45" s="12" t="s">
        <v>492</v>
      </c>
      <c r="D45" s="13" t="s">
        <v>28</v>
      </c>
      <c r="E45" s="12" t="s">
        <v>493</v>
      </c>
      <c r="F45" s="12" t="s">
        <v>494</v>
      </c>
      <c r="G45" s="12" t="s">
        <v>495</v>
      </c>
      <c r="H45" s="12" t="s">
        <v>496</v>
      </c>
      <c r="I45" s="12" t="s">
        <v>33</v>
      </c>
      <c r="J45" s="12" t="s">
        <v>33</v>
      </c>
      <c r="K45" s="12" t="s">
        <v>497</v>
      </c>
      <c r="L45" s="12" t="s">
        <v>235</v>
      </c>
      <c r="M45" s="12" t="s">
        <v>308</v>
      </c>
      <c r="N45" s="12" t="s">
        <v>105</v>
      </c>
      <c r="O45" s="12" t="s">
        <v>498</v>
      </c>
      <c r="P45" s="12" t="s">
        <v>499</v>
      </c>
      <c r="Q45" s="12" t="s">
        <v>500</v>
      </c>
      <c r="R45" s="12" t="s">
        <v>399</v>
      </c>
      <c r="S45" s="12" t="s">
        <v>386</v>
      </c>
      <c r="T45" s="12" t="s">
        <v>501</v>
      </c>
      <c r="U45" s="12" t="s">
        <v>33</v>
      </c>
      <c r="V45" s="12" t="s">
        <v>502</v>
      </c>
      <c r="W45" s="12" t="s">
        <v>44</v>
      </c>
      <c r="X45" s="12" t="s">
        <v>503</v>
      </c>
      <c r="Y45" s="12" t="s">
        <v>285</v>
      </c>
      <c r="Z45" s="12"/>
    </row>
    <row r="46" customFormat="false" ht="49.5" hidden="false" customHeight="true" outlineLevel="0" collapsed="false">
      <c r="A46" s="14" t="n">
        <v>45</v>
      </c>
      <c r="B46" s="14" t="s">
        <v>504</v>
      </c>
      <c r="C46" s="14" t="s">
        <v>505</v>
      </c>
      <c r="D46" s="15" t="s">
        <v>28</v>
      </c>
      <c r="E46" s="14" t="s">
        <v>506</v>
      </c>
      <c r="F46" s="14" t="s">
        <v>33</v>
      </c>
      <c r="G46" s="14" t="s">
        <v>507</v>
      </c>
      <c r="H46" s="14" t="s">
        <v>33</v>
      </c>
      <c r="I46" s="14" t="s">
        <v>33</v>
      </c>
      <c r="J46" s="14" t="s">
        <v>33</v>
      </c>
      <c r="K46" s="14" t="s">
        <v>508</v>
      </c>
      <c r="L46" s="14" t="s">
        <v>126</v>
      </c>
      <c r="M46" s="14" t="s">
        <v>53</v>
      </c>
      <c r="N46" s="14" t="s">
        <v>277</v>
      </c>
      <c r="O46" s="14" t="s">
        <v>358</v>
      </c>
      <c r="P46" s="14" t="s">
        <v>509</v>
      </c>
      <c r="Q46" s="14" t="s">
        <v>510</v>
      </c>
      <c r="R46" s="14" t="s">
        <v>361</v>
      </c>
      <c r="S46" s="14" t="s">
        <v>282</v>
      </c>
      <c r="T46" s="14" t="s">
        <v>33</v>
      </c>
      <c r="U46" s="14" t="s">
        <v>33</v>
      </c>
      <c r="V46" s="14" t="s">
        <v>511</v>
      </c>
      <c r="W46" s="14" t="s">
        <v>44</v>
      </c>
      <c r="X46" s="14" t="s">
        <v>512</v>
      </c>
      <c r="Y46" s="14" t="s">
        <v>285</v>
      </c>
      <c r="Z46" s="14"/>
    </row>
    <row r="47" customFormat="false" ht="49.5" hidden="false" customHeight="true" outlineLevel="0" collapsed="false">
      <c r="A47" s="12" t="n">
        <v>46</v>
      </c>
      <c r="B47" s="12" t="s">
        <v>513</v>
      </c>
      <c r="C47" s="12" t="s">
        <v>514</v>
      </c>
      <c r="D47" s="13" t="s">
        <v>28</v>
      </c>
      <c r="E47" s="12" t="s">
        <v>515</v>
      </c>
      <c r="F47" s="12" t="s">
        <v>33</v>
      </c>
      <c r="G47" s="12" t="s">
        <v>516</v>
      </c>
      <c r="H47" s="12" t="s">
        <v>33</v>
      </c>
      <c r="I47" s="12" t="s">
        <v>33</v>
      </c>
      <c r="J47" s="12" t="s">
        <v>33</v>
      </c>
      <c r="K47" s="12" t="s">
        <v>517</v>
      </c>
      <c r="L47" s="12" t="s">
        <v>193</v>
      </c>
      <c r="M47" s="12" t="s">
        <v>518</v>
      </c>
      <c r="N47" s="12" t="s">
        <v>277</v>
      </c>
      <c r="O47" s="12" t="s">
        <v>383</v>
      </c>
      <c r="P47" s="12" t="s">
        <v>519</v>
      </c>
      <c r="Q47" s="12" t="s">
        <v>520</v>
      </c>
      <c r="R47" s="12" t="s">
        <v>325</v>
      </c>
      <c r="S47" s="12" t="s">
        <v>282</v>
      </c>
      <c r="T47" s="12" t="s">
        <v>33</v>
      </c>
      <c r="U47" s="12" t="s">
        <v>33</v>
      </c>
      <c r="V47" s="12" t="s">
        <v>521</v>
      </c>
      <c r="W47" s="12" t="s">
        <v>44</v>
      </c>
      <c r="X47" s="12" t="s">
        <v>522</v>
      </c>
      <c r="Y47" s="12" t="s">
        <v>285</v>
      </c>
      <c r="Z47" s="12"/>
    </row>
    <row r="48" customFormat="false" ht="49.5" hidden="false" customHeight="true" outlineLevel="0" collapsed="false">
      <c r="A48" s="14" t="n">
        <v>47</v>
      </c>
      <c r="B48" s="14" t="s">
        <v>523</v>
      </c>
      <c r="C48" s="14" t="s">
        <v>524</v>
      </c>
      <c r="D48" s="15" t="s">
        <v>28</v>
      </c>
      <c r="E48" s="14" t="s">
        <v>525</v>
      </c>
      <c r="F48" s="14" t="s">
        <v>526</v>
      </c>
      <c r="G48" s="14" t="s">
        <v>527</v>
      </c>
      <c r="H48" s="14" t="s">
        <v>528</v>
      </c>
      <c r="I48" s="14" t="s">
        <v>529</v>
      </c>
      <c r="J48" s="14" t="s">
        <v>530</v>
      </c>
      <c r="K48" s="14" t="s">
        <v>531</v>
      </c>
      <c r="L48" s="14" t="s">
        <v>532</v>
      </c>
      <c r="M48" s="14" t="s">
        <v>533</v>
      </c>
      <c r="N48" s="14" t="s">
        <v>105</v>
      </c>
      <c r="O48" s="14" t="s">
        <v>534</v>
      </c>
      <c r="P48" s="14" t="s">
        <v>535</v>
      </c>
      <c r="Q48" s="14" t="s">
        <v>536</v>
      </c>
      <c r="R48" s="14" t="s">
        <v>537</v>
      </c>
      <c r="S48" s="14" t="s">
        <v>386</v>
      </c>
      <c r="T48" s="14" t="s">
        <v>538</v>
      </c>
      <c r="U48" s="14" t="s">
        <v>539</v>
      </c>
      <c r="V48" s="14" t="s">
        <v>528</v>
      </c>
      <c r="W48" s="14" t="s">
        <v>44</v>
      </c>
      <c r="X48" s="14" t="s">
        <v>540</v>
      </c>
      <c r="Y48" s="14" t="s">
        <v>285</v>
      </c>
      <c r="Z48" s="14"/>
    </row>
    <row r="49" customFormat="false" ht="49.5" hidden="false" customHeight="true" outlineLevel="0" collapsed="false">
      <c r="A49" s="12" t="n">
        <v>48</v>
      </c>
      <c r="B49" s="12" t="s">
        <v>541</v>
      </c>
      <c r="C49" s="12" t="s">
        <v>33</v>
      </c>
      <c r="D49" s="16" t="s">
        <v>262</v>
      </c>
      <c r="E49" s="12" t="s">
        <v>542</v>
      </c>
      <c r="F49" s="12" t="s">
        <v>33</v>
      </c>
      <c r="G49" s="12" t="s">
        <v>543</v>
      </c>
      <c r="H49" s="12" t="s">
        <v>33</v>
      </c>
      <c r="I49" s="12" t="s">
        <v>33</v>
      </c>
      <c r="J49" s="12" t="s">
        <v>33</v>
      </c>
      <c r="K49" s="12" t="s">
        <v>544</v>
      </c>
      <c r="L49" s="12" t="s">
        <v>545</v>
      </c>
      <c r="M49" s="12" t="s">
        <v>53</v>
      </c>
      <c r="N49" s="12" t="s">
        <v>201</v>
      </c>
      <c r="O49" s="12" t="s">
        <v>33</v>
      </c>
      <c r="P49" s="12" t="s">
        <v>546</v>
      </c>
      <c r="Q49" s="12" t="s">
        <v>33</v>
      </c>
      <c r="R49" s="12" t="s">
        <v>547</v>
      </c>
      <c r="S49" s="12" t="s">
        <v>548</v>
      </c>
      <c r="T49" s="12" t="s">
        <v>33</v>
      </c>
      <c r="U49" s="12" t="s">
        <v>33</v>
      </c>
      <c r="V49" s="12" t="s">
        <v>549</v>
      </c>
      <c r="W49" s="12" t="s">
        <v>267</v>
      </c>
      <c r="X49" s="12" t="s">
        <v>550</v>
      </c>
      <c r="Y49" s="12" t="s">
        <v>285</v>
      </c>
      <c r="Z49" s="12"/>
    </row>
    <row r="50" customFormat="false" ht="49.5" hidden="false" customHeight="true" outlineLevel="0" collapsed="false">
      <c r="A50" s="14" t="n">
        <v>49</v>
      </c>
      <c r="B50" s="14" t="s">
        <v>551</v>
      </c>
      <c r="C50" s="14" t="s">
        <v>33</v>
      </c>
      <c r="D50" s="17" t="s">
        <v>262</v>
      </c>
      <c r="E50" s="14" t="s">
        <v>552</v>
      </c>
      <c r="F50" s="14" t="s">
        <v>33</v>
      </c>
      <c r="G50" s="14" t="s">
        <v>33</v>
      </c>
      <c r="H50" s="14" t="s">
        <v>33</v>
      </c>
      <c r="I50" s="14" t="s">
        <v>33</v>
      </c>
      <c r="J50" s="14" t="s">
        <v>33</v>
      </c>
      <c r="K50" s="14" t="s">
        <v>371</v>
      </c>
      <c r="L50" s="14" t="s">
        <v>193</v>
      </c>
      <c r="M50" s="14" t="s">
        <v>53</v>
      </c>
      <c r="N50" s="14" t="s">
        <v>277</v>
      </c>
      <c r="O50" s="14" t="s">
        <v>33</v>
      </c>
      <c r="P50" s="14" t="s">
        <v>553</v>
      </c>
      <c r="Q50" s="14" t="s">
        <v>33</v>
      </c>
      <c r="R50" s="14" t="s">
        <v>547</v>
      </c>
      <c r="S50" s="14" t="s">
        <v>554</v>
      </c>
      <c r="T50" s="14" t="s">
        <v>33</v>
      </c>
      <c r="U50" s="14" t="s">
        <v>33</v>
      </c>
      <c r="V50" s="14" t="s">
        <v>555</v>
      </c>
      <c r="W50" s="14" t="s">
        <v>267</v>
      </c>
      <c r="X50" s="14" t="s">
        <v>556</v>
      </c>
      <c r="Y50" s="14" t="s">
        <v>285</v>
      </c>
      <c r="Z50" s="14"/>
    </row>
    <row r="51" customFormat="false" ht="49.5" hidden="false" customHeight="true" outlineLevel="0" collapsed="false">
      <c r="A51" s="12" t="n">
        <v>50</v>
      </c>
      <c r="B51" s="12" t="s">
        <v>557</v>
      </c>
      <c r="C51" s="12" t="s">
        <v>33</v>
      </c>
      <c r="D51" s="16" t="s">
        <v>262</v>
      </c>
      <c r="E51" s="12" t="s">
        <v>558</v>
      </c>
      <c r="F51" s="12" t="s">
        <v>33</v>
      </c>
      <c r="G51" s="12" t="s">
        <v>559</v>
      </c>
      <c r="H51" s="12" t="s">
        <v>33</v>
      </c>
      <c r="I51" s="12" t="s">
        <v>33</v>
      </c>
      <c r="J51" s="12" t="s">
        <v>33</v>
      </c>
      <c r="K51" s="12" t="s">
        <v>560</v>
      </c>
      <c r="L51" s="12" t="s">
        <v>90</v>
      </c>
      <c r="M51" s="12" t="s">
        <v>53</v>
      </c>
      <c r="N51" s="12" t="s">
        <v>277</v>
      </c>
      <c r="O51" s="12" t="s">
        <v>33</v>
      </c>
      <c r="P51" s="12" t="s">
        <v>561</v>
      </c>
      <c r="Q51" s="12" t="s">
        <v>562</v>
      </c>
      <c r="R51" s="12" t="s">
        <v>563</v>
      </c>
      <c r="S51" s="12" t="s">
        <v>282</v>
      </c>
      <c r="T51" s="12" t="s">
        <v>33</v>
      </c>
      <c r="U51" s="12" t="s">
        <v>564</v>
      </c>
      <c r="V51" s="12" t="s">
        <v>565</v>
      </c>
      <c r="W51" s="12" t="s">
        <v>267</v>
      </c>
      <c r="X51" s="12" t="s">
        <v>566</v>
      </c>
      <c r="Y51" s="12" t="s">
        <v>285</v>
      </c>
      <c r="Z5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3"/>
    <col collapsed="false" customWidth="true" hidden="false" outlineLevel="0" max="6" min="5" style="1" width="18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38"/>
    <col collapsed="false" customWidth="true" hidden="false" outlineLevel="0" max="14" min="12" style="1" width="22"/>
    <col collapsed="false" customWidth="true" hidden="false" outlineLevel="0" max="15" min="15" style="1" width="11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13"/>
    <col collapsed="false" customWidth="true" hidden="false" outlineLevel="0" max="19" min="19" style="1" width="12"/>
    <col collapsed="false" customWidth="true" hidden="false" outlineLevel="0" max="20" min="20" style="1" width="36"/>
    <col collapsed="false" customWidth="true" hidden="false" outlineLevel="0" max="21" min="21" style="1" width="26"/>
    <col collapsed="false" customWidth="true" hidden="false" outlineLevel="0" max="22" min="22" style="1" width="38"/>
    <col collapsed="false" customWidth="true" hidden="false" outlineLevel="0" max="23" min="23" style="1" width="14"/>
    <col collapsed="false" customWidth="true" hidden="false" outlineLevel="0" max="24" min="24" style="1" width="36"/>
    <col collapsed="false" customWidth="true" hidden="false" outlineLevel="0" max="25" min="25" style="1" width="12"/>
    <col collapsed="false" customWidth="true" hidden="false" outlineLevel="0" max="26" min="26" style="1" width="14"/>
    <col collapsed="false" customWidth="true" hidden="false" outlineLevel="0" max="27" min="27" style="1" width="45"/>
  </cols>
  <sheetData>
    <row r="1" customFormat="false" ht="39.75" hidden="false" customHeight="true" outlineLevel="0" collapsed="false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567</v>
      </c>
    </row>
    <row r="2" customFormat="false" ht="45" hidden="false" customHeight="true" outlineLevel="0" collapsed="false">
      <c r="A2" s="19" t="n">
        <v>1</v>
      </c>
      <c r="B2" s="20" t="s">
        <v>568</v>
      </c>
      <c r="C2" s="19" t="s">
        <v>33</v>
      </c>
      <c r="D2" s="21" t="s">
        <v>262</v>
      </c>
      <c r="E2" s="19" t="s">
        <v>569</v>
      </c>
      <c r="F2" s="19" t="s">
        <v>33</v>
      </c>
      <c r="G2" s="19" t="s">
        <v>33</v>
      </c>
      <c r="H2" s="19" t="s">
        <v>33</v>
      </c>
      <c r="I2" s="19" t="s">
        <v>33</v>
      </c>
      <c r="J2" s="19" t="s">
        <v>33</v>
      </c>
      <c r="K2" s="19" t="s">
        <v>570</v>
      </c>
      <c r="L2" s="19" t="s">
        <v>183</v>
      </c>
      <c r="M2" s="19" t="s">
        <v>53</v>
      </c>
      <c r="N2" s="19" t="s">
        <v>201</v>
      </c>
      <c r="O2" s="19" t="n">
        <v>2000</v>
      </c>
      <c r="P2" s="19" t="s">
        <v>571</v>
      </c>
      <c r="Q2" s="19" t="s">
        <v>33</v>
      </c>
      <c r="R2" s="19" t="s">
        <v>33</v>
      </c>
      <c r="S2" s="19" t="n">
        <v>2024</v>
      </c>
      <c r="T2" s="19" t="s">
        <v>33</v>
      </c>
      <c r="U2" s="19" t="s">
        <v>33</v>
      </c>
      <c r="V2" s="19" t="s">
        <v>572</v>
      </c>
      <c r="W2" s="19" t="s">
        <v>267</v>
      </c>
      <c r="X2" s="19" t="s">
        <v>33</v>
      </c>
      <c r="Y2" s="19" t="s">
        <v>46</v>
      </c>
      <c r="Z2" s="19"/>
      <c r="AA2" s="19" t="s">
        <v>573</v>
      </c>
    </row>
    <row r="3" customFormat="false" ht="45" hidden="false" customHeight="true" outlineLevel="0" collapsed="false">
      <c r="A3" s="19" t="n">
        <v>2</v>
      </c>
      <c r="B3" s="20" t="s">
        <v>574</v>
      </c>
      <c r="C3" s="19" t="s">
        <v>575</v>
      </c>
      <c r="D3" s="21" t="s">
        <v>262</v>
      </c>
      <c r="E3" s="19" t="s">
        <v>576</v>
      </c>
      <c r="F3" s="19" t="s">
        <v>33</v>
      </c>
      <c r="G3" s="19" t="s">
        <v>33</v>
      </c>
      <c r="H3" s="19" t="s">
        <v>33</v>
      </c>
      <c r="I3" s="19" t="s">
        <v>33</v>
      </c>
      <c r="J3" s="19" t="s">
        <v>33</v>
      </c>
      <c r="K3" s="19" t="s">
        <v>577</v>
      </c>
      <c r="L3" s="19" t="s">
        <v>174</v>
      </c>
      <c r="M3" s="19" t="s">
        <v>53</v>
      </c>
      <c r="N3" s="19" t="s">
        <v>201</v>
      </c>
      <c r="O3" s="19" t="n">
        <v>2010</v>
      </c>
      <c r="P3" s="19" t="s">
        <v>578</v>
      </c>
      <c r="Q3" s="19" t="s">
        <v>33</v>
      </c>
      <c r="R3" s="19" t="s">
        <v>33</v>
      </c>
      <c r="S3" s="19" t="n">
        <v>2024</v>
      </c>
      <c r="T3" s="19" t="s">
        <v>33</v>
      </c>
      <c r="U3" s="19" t="s">
        <v>33</v>
      </c>
      <c r="V3" s="19" t="s">
        <v>572</v>
      </c>
      <c r="W3" s="19" t="s">
        <v>267</v>
      </c>
      <c r="X3" s="19" t="s">
        <v>33</v>
      </c>
      <c r="Y3" s="19" t="s">
        <v>46</v>
      </c>
      <c r="Z3" s="19"/>
      <c r="AA3" s="19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8"/>
  </cols>
  <sheetData>
    <row r="1" customFormat="false" ht="36" hidden="false" customHeight="true" outlineLevel="0" collapsed="false">
      <c r="A1" s="22" t="s">
        <v>580</v>
      </c>
      <c r="B1" s="22"/>
      <c r="C1" s="22"/>
    </row>
    <row r="2" customFormat="false" ht="15" hidden="false" customHeight="true" outlineLevel="0" collapsed="false">
      <c r="A2" s="23" t="s">
        <v>581</v>
      </c>
      <c r="B2" s="23"/>
      <c r="C2" s="23"/>
    </row>
    <row r="4" customFormat="false" ht="21.75" hidden="false" customHeight="true" outlineLevel="0" collapsed="false">
      <c r="A4" s="24" t="s">
        <v>582</v>
      </c>
      <c r="B4" s="24"/>
      <c r="C4" s="24"/>
    </row>
    <row r="5" customFormat="false" ht="19.5" hidden="false" customHeight="true" outlineLevel="0" collapsed="false">
      <c r="A5" s="25" t="s">
        <v>583</v>
      </c>
      <c r="B5" s="25"/>
      <c r="C5" s="26" t="n">
        <f aca="false">COUNTA('✅ Verified Leads'!B2:B1000)+COUNTA('🚫 Flagged Developers'!B2:B1000)</f>
        <v>52</v>
      </c>
    </row>
    <row r="6" customFormat="false" ht="19.5" hidden="false" customHeight="true" outlineLevel="0" collapsed="false">
      <c r="A6" s="25" t="s">
        <v>584</v>
      </c>
      <c r="B6" s="25"/>
      <c r="C6" s="26" t="n">
        <f aca="false">COUNTIF('✅ Verified Leads'!D2:D1000,"VERIFIED")</f>
        <v>46</v>
      </c>
    </row>
    <row r="7" customFormat="false" ht="19.5" hidden="false" customHeight="true" outlineLevel="0" collapsed="false">
      <c r="A7" s="25" t="s">
        <v>585</v>
      </c>
      <c r="B7" s="25"/>
      <c r="C7" s="26" t="n">
        <f aca="false">COUNTIF('✅ Verified Leads'!D2:D1000,"UNVERIFIED")</f>
        <v>4</v>
      </c>
    </row>
    <row r="8" customFormat="false" ht="19.5" hidden="false" customHeight="true" outlineLevel="0" collapsed="false">
      <c r="A8" s="25" t="s">
        <v>586</v>
      </c>
      <c r="B8" s="25"/>
      <c r="C8" s="26" t="n">
        <f aca="false">COUNTA('🚫 Flagged Developers'!B2:B1000)</f>
        <v>2</v>
      </c>
    </row>
    <row r="9" customFormat="false" ht="19.5" hidden="false" customHeight="true" outlineLevel="0" collapsed="false">
      <c r="A9" s="25" t="s">
        <v>587</v>
      </c>
      <c r="B9" s="25"/>
      <c r="C9" s="26" t="n">
        <f aca="false">COUNTIF('✅ Verified Leads'!E2:E1000,"&lt;&gt;NULL")-COUNTIF('✅ Verified Leads'!E2:E1000,"")</f>
        <v>37</v>
      </c>
    </row>
    <row r="10" customFormat="false" ht="19.5" hidden="false" customHeight="true" outlineLevel="0" collapsed="false">
      <c r="A10" s="25" t="s">
        <v>588</v>
      </c>
      <c r="B10" s="25"/>
      <c r="C10" s="26" t="n">
        <f aca="false">COUNTIF('✅ Verified Leads'!G2:G1000,"&lt;&gt;NULL")-COUNTIF('✅ Verified Leads'!G2:G1000,"")</f>
        <v>26</v>
      </c>
    </row>
    <row r="11" customFormat="false" ht="19.5" hidden="false" customHeight="true" outlineLevel="0" collapsed="false">
      <c r="A11" s="25" t="s">
        <v>589</v>
      </c>
      <c r="B11" s="25"/>
      <c r="C11" s="26" t="n">
        <f aca="false">COUNTIF('✅ Verified Leads'!I2:I1000,"&lt;&gt;NULL")-COUNTIF('✅ Verified Leads'!I2:I1000,"")</f>
        <v>6</v>
      </c>
    </row>
    <row r="12" customFormat="false" ht="19.5" hidden="false" customHeight="true" outlineLevel="0" collapsed="false">
      <c r="A12" s="25" t="s">
        <v>590</v>
      </c>
      <c r="B12" s="25"/>
      <c r="C12" s="26" t="n">
        <f aca="false">COUNTIF('✅ Verified Leads'!H2:H1000,"&lt;&gt;NULL")-COUNTIF('✅ Verified Leads'!H2:H1000,"")</f>
        <v>31</v>
      </c>
    </row>
    <row r="13" customFormat="false" ht="19.5" hidden="false" customHeight="true" outlineLevel="0" collapsed="false">
      <c r="A13" s="25" t="s">
        <v>591</v>
      </c>
      <c r="B13" s="25"/>
      <c r="C13" s="26" t="n">
        <f aca="false">COUNTIF('✅ Verified Leads'!W2:W1000,"YES")</f>
        <v>46</v>
      </c>
    </row>
    <row r="14" customFormat="false" ht="19.5" hidden="false" customHeight="true" outlineLevel="0" collapsed="false">
      <c r="A14" s="25" t="s">
        <v>592</v>
      </c>
      <c r="B14" s="25"/>
      <c r="C14" s="27" t="n">
        <f aca="false">COUNTIF('✅ Verified Leads'!D2:D1000,"VERIFIED")/50</f>
        <v>0.92</v>
      </c>
    </row>
    <row r="16" customFormat="false" ht="21.75" hidden="false" customHeight="true" outlineLevel="0" collapsed="false">
      <c r="A16" s="24" t="s">
        <v>593</v>
      </c>
      <c r="B16" s="24"/>
      <c r="C16" s="24"/>
    </row>
    <row r="17" customFormat="false" ht="15" hidden="false" customHeight="true" outlineLevel="0" collapsed="false">
      <c r="A17" s="28" t="s">
        <v>11</v>
      </c>
      <c r="C17" s="28" t="s">
        <v>594</v>
      </c>
    </row>
    <row r="18" customFormat="false" ht="18" hidden="false" customHeight="true" outlineLevel="0" collapsed="false">
      <c r="A18" s="29" t="s">
        <v>595</v>
      </c>
      <c r="B18" s="29"/>
      <c r="C18" s="30" t="n">
        <v>6</v>
      </c>
    </row>
    <row r="19" customFormat="false" ht="18" hidden="false" customHeight="true" outlineLevel="0" collapsed="false">
      <c r="A19" s="31" t="s">
        <v>596</v>
      </c>
      <c r="B19" s="31"/>
      <c r="C19" s="32" t="n">
        <v>2</v>
      </c>
    </row>
    <row r="20" customFormat="false" ht="18" hidden="false" customHeight="true" outlineLevel="0" collapsed="false">
      <c r="A20" s="29" t="s">
        <v>597</v>
      </c>
      <c r="B20" s="29"/>
      <c r="C20" s="30" t="n">
        <v>3</v>
      </c>
    </row>
    <row r="21" customFormat="false" ht="18" hidden="false" customHeight="true" outlineLevel="0" collapsed="false">
      <c r="A21" s="31" t="s">
        <v>598</v>
      </c>
      <c r="B21" s="31"/>
      <c r="C21" s="32" t="n">
        <v>9</v>
      </c>
    </row>
    <row r="22" customFormat="false" ht="18" hidden="false" customHeight="true" outlineLevel="0" collapsed="false">
      <c r="A22" s="29" t="s">
        <v>599</v>
      </c>
      <c r="B22" s="29"/>
      <c r="C22" s="30" t="n">
        <v>9</v>
      </c>
    </row>
    <row r="23" customFormat="false" ht="18" hidden="false" customHeight="true" outlineLevel="0" collapsed="false">
      <c r="A23" s="31" t="s">
        <v>600</v>
      </c>
      <c r="B23" s="31"/>
      <c r="C23" s="32" t="n">
        <v>3</v>
      </c>
    </row>
    <row r="25" customFormat="false" ht="21.75" hidden="false" customHeight="true" outlineLevel="0" collapsed="false">
      <c r="A25" s="24" t="s">
        <v>601</v>
      </c>
      <c r="B25" s="24"/>
      <c r="C25" s="24"/>
    </row>
    <row r="26" customFormat="false" ht="15" hidden="false" customHeight="true" outlineLevel="0" collapsed="false">
      <c r="A26" s="28" t="s">
        <v>602</v>
      </c>
      <c r="C26" s="28" t="s">
        <v>594</v>
      </c>
    </row>
    <row r="27" customFormat="false" ht="18" hidden="false" customHeight="true" outlineLevel="0" collapsed="false">
      <c r="A27" s="31" t="s">
        <v>53</v>
      </c>
      <c r="B27" s="31"/>
      <c r="C27" s="32" t="n">
        <v>9</v>
      </c>
    </row>
    <row r="28" customFormat="false" ht="18" hidden="false" customHeight="true" outlineLevel="0" collapsed="false">
      <c r="A28" s="29" t="s">
        <v>37</v>
      </c>
      <c r="B28" s="29"/>
      <c r="C28" s="30" t="n">
        <v>9</v>
      </c>
    </row>
    <row r="29" customFormat="false" ht="18" hidden="false" customHeight="true" outlineLevel="0" collapsed="false">
      <c r="A29" s="31" t="s">
        <v>91</v>
      </c>
      <c r="B29" s="31"/>
      <c r="C29" s="32" t="n">
        <v>2</v>
      </c>
    </row>
    <row r="30" customFormat="false" ht="18" hidden="false" customHeight="true" outlineLevel="0" collapsed="false">
      <c r="A30" s="29" t="s">
        <v>104</v>
      </c>
      <c r="B30" s="29"/>
      <c r="C30" s="30" t="n">
        <v>2</v>
      </c>
    </row>
    <row r="31" customFormat="false" ht="18" hidden="false" customHeight="true" outlineLevel="0" collapsed="false">
      <c r="A31" s="31" t="s">
        <v>184</v>
      </c>
      <c r="B31" s="31"/>
      <c r="C31" s="32" t="n">
        <v>1</v>
      </c>
    </row>
    <row r="32" customFormat="false" ht="18" hidden="false" customHeight="true" outlineLevel="0" collapsed="false">
      <c r="A32" s="29" t="s">
        <v>236</v>
      </c>
      <c r="B32" s="29"/>
      <c r="C32" s="30" t="n">
        <v>2</v>
      </c>
    </row>
    <row r="34" customFormat="false" ht="21.75" hidden="false" customHeight="true" outlineLevel="0" collapsed="false">
      <c r="A34" s="24" t="s">
        <v>603</v>
      </c>
      <c r="B34" s="24"/>
      <c r="C34" s="24"/>
    </row>
    <row r="35" customFormat="false" ht="15" hidden="false" customHeight="true" outlineLevel="0" collapsed="false">
      <c r="A35" s="28" t="s">
        <v>13</v>
      </c>
      <c r="C35" s="28" t="s">
        <v>594</v>
      </c>
    </row>
    <row r="36" customFormat="false" ht="18" hidden="false" customHeight="true" outlineLevel="0" collapsed="false">
      <c r="A36" s="29" t="s">
        <v>201</v>
      </c>
      <c r="B36" s="29"/>
      <c r="C36" s="30" t="n">
        <v>1</v>
      </c>
    </row>
    <row r="37" customFormat="false" ht="18" hidden="false" customHeight="true" outlineLevel="0" collapsed="false">
      <c r="A37" s="31" t="s">
        <v>604</v>
      </c>
      <c r="B37" s="31"/>
      <c r="C37" s="32" t="n">
        <v>6</v>
      </c>
    </row>
    <row r="38" customFormat="false" ht="18" hidden="false" customHeight="true" outlineLevel="0" collapsed="false">
      <c r="A38" s="29" t="s">
        <v>605</v>
      </c>
      <c r="B38" s="29"/>
      <c r="C38" s="30" t="n">
        <v>11</v>
      </c>
    </row>
    <row r="39" customFormat="false" ht="18" hidden="false" customHeight="true" outlineLevel="0" collapsed="false">
      <c r="A39" s="31" t="s">
        <v>105</v>
      </c>
      <c r="B39" s="31"/>
      <c r="C39" s="32" t="n">
        <v>6</v>
      </c>
    </row>
  </sheetData>
  <mergeCells count="32">
    <mergeCell ref="A1:C1"/>
    <mergeCell ref="A2:C2"/>
    <mergeCell ref="A4:C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6:C16"/>
    <mergeCell ref="A18:B18"/>
    <mergeCell ref="A19:B19"/>
    <mergeCell ref="A20:B20"/>
    <mergeCell ref="A21:B21"/>
    <mergeCell ref="A22:B22"/>
    <mergeCell ref="A23:B23"/>
    <mergeCell ref="A25:C25"/>
    <mergeCell ref="A27:B27"/>
    <mergeCell ref="A28:B28"/>
    <mergeCell ref="A29:B29"/>
    <mergeCell ref="A30:B30"/>
    <mergeCell ref="A31:B31"/>
    <mergeCell ref="A32:B32"/>
    <mergeCell ref="A34:C34"/>
    <mergeCell ref="A36:B36"/>
    <mergeCell ref="A37:B37"/>
    <mergeCell ref="A38:B38"/>
    <mergeCell ref="A39:B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8"/>
    <col collapsed="false" customWidth="true" hidden="false" outlineLevel="0" max="6" min="6" style="1" width="60"/>
    <col collapsed="false" customWidth="true" hidden="false" outlineLevel="0" max="7" min="7" style="1" width="18"/>
    <col collapsed="false" customWidth="true" hidden="false" outlineLevel="0" max="8" min="8" style="1" width="45"/>
  </cols>
  <sheetData>
    <row r="1" customFormat="false" ht="34.5" hidden="false" customHeight="true" outlineLevel="0" collapsed="false">
      <c r="A1" s="33" t="s">
        <v>0</v>
      </c>
      <c r="B1" s="33" t="s">
        <v>606</v>
      </c>
      <c r="C1" s="33" t="s">
        <v>607</v>
      </c>
      <c r="D1" s="33" t="s">
        <v>21</v>
      </c>
      <c r="E1" s="33" t="s">
        <v>608</v>
      </c>
      <c r="F1" s="33" t="s">
        <v>609</v>
      </c>
      <c r="G1" s="33" t="s">
        <v>610</v>
      </c>
      <c r="H1" s="33" t="s">
        <v>611</v>
      </c>
    </row>
    <row r="2" customFormat="false" ht="42" hidden="false" customHeight="true" outlineLevel="0" collapsed="false">
      <c r="A2" s="34" t="n">
        <v>1</v>
      </c>
      <c r="B2" s="34" t="s">
        <v>46</v>
      </c>
      <c r="C2" s="34" t="s">
        <v>612</v>
      </c>
      <c r="D2" s="34" t="s">
        <v>32</v>
      </c>
      <c r="E2" s="34" t="s">
        <v>26</v>
      </c>
      <c r="F2" s="34" t="s">
        <v>613</v>
      </c>
      <c r="G2" s="34" t="s">
        <v>614</v>
      </c>
      <c r="H2" s="34" t="s">
        <v>615</v>
      </c>
    </row>
    <row r="3" customFormat="false" ht="42" hidden="false" customHeight="true" outlineLevel="0" collapsed="false">
      <c r="A3" s="34" t="n">
        <v>2</v>
      </c>
      <c r="B3" s="34" t="s">
        <v>46</v>
      </c>
      <c r="C3" s="34" t="s">
        <v>612</v>
      </c>
      <c r="D3" s="34" t="s">
        <v>50</v>
      </c>
      <c r="E3" s="34" t="s">
        <v>47</v>
      </c>
      <c r="F3" s="34" t="s">
        <v>616</v>
      </c>
      <c r="G3" s="34" t="s">
        <v>614</v>
      </c>
      <c r="H3" s="34" t="s">
        <v>617</v>
      </c>
    </row>
    <row r="4" customFormat="false" ht="42" hidden="false" customHeight="true" outlineLevel="0" collapsed="false">
      <c r="A4" s="34" t="n">
        <v>3</v>
      </c>
      <c r="B4" s="34" t="s">
        <v>46</v>
      </c>
      <c r="C4" s="34" t="s">
        <v>612</v>
      </c>
      <c r="D4" s="34" t="s">
        <v>63</v>
      </c>
      <c r="E4" s="34" t="s">
        <v>58</v>
      </c>
      <c r="F4" s="34" t="s">
        <v>618</v>
      </c>
      <c r="G4" s="34" t="s">
        <v>614</v>
      </c>
      <c r="H4" s="34" t="s">
        <v>619</v>
      </c>
    </row>
    <row r="5" customFormat="false" ht="42" hidden="false" customHeight="true" outlineLevel="0" collapsed="false">
      <c r="A5" s="34" t="n">
        <v>4</v>
      </c>
      <c r="B5" s="34" t="s">
        <v>46</v>
      </c>
      <c r="C5" s="34" t="s">
        <v>612</v>
      </c>
      <c r="D5" s="34" t="s">
        <v>77</v>
      </c>
      <c r="E5" s="34" t="s">
        <v>620</v>
      </c>
      <c r="F5" s="34" t="s">
        <v>621</v>
      </c>
      <c r="G5" s="34" t="s">
        <v>614</v>
      </c>
      <c r="H5" s="34" t="s">
        <v>622</v>
      </c>
    </row>
    <row r="6" customFormat="false" ht="42" hidden="false" customHeight="true" outlineLevel="0" collapsed="false">
      <c r="A6" s="34" t="n">
        <v>5</v>
      </c>
      <c r="B6" s="34" t="s">
        <v>46</v>
      </c>
      <c r="C6" s="34" t="s">
        <v>612</v>
      </c>
      <c r="D6" s="34" t="s">
        <v>96</v>
      </c>
      <c r="E6" s="34" t="s">
        <v>623</v>
      </c>
      <c r="F6" s="34" t="s">
        <v>624</v>
      </c>
      <c r="G6" s="34" t="s">
        <v>614</v>
      </c>
      <c r="H6" s="34" t="s">
        <v>625</v>
      </c>
    </row>
    <row r="7" customFormat="false" ht="42" hidden="false" customHeight="true" outlineLevel="0" collapsed="false">
      <c r="A7" s="34" t="n">
        <v>6</v>
      </c>
      <c r="B7" s="34" t="s">
        <v>46</v>
      </c>
      <c r="C7" s="34" t="s">
        <v>612</v>
      </c>
      <c r="D7" s="34" t="s">
        <v>109</v>
      </c>
      <c r="E7" s="34" t="s">
        <v>98</v>
      </c>
      <c r="F7" s="34" t="s">
        <v>626</v>
      </c>
      <c r="G7" s="34" t="s">
        <v>614</v>
      </c>
      <c r="H7" s="34" t="s">
        <v>627</v>
      </c>
    </row>
    <row r="8" customFormat="false" ht="42" hidden="false" customHeight="true" outlineLevel="0" collapsed="false">
      <c r="A8" s="34" t="n">
        <v>7</v>
      </c>
      <c r="B8" s="34" t="s">
        <v>46</v>
      </c>
      <c r="C8" s="34" t="s">
        <v>612</v>
      </c>
      <c r="D8" s="34" t="s">
        <v>113</v>
      </c>
      <c r="E8" s="34" t="s">
        <v>628</v>
      </c>
      <c r="F8" s="34" t="s">
        <v>629</v>
      </c>
      <c r="G8" s="34" t="s">
        <v>614</v>
      </c>
      <c r="H8" s="34" t="s">
        <v>630</v>
      </c>
    </row>
    <row r="9" customFormat="false" ht="42" hidden="false" customHeight="true" outlineLevel="0" collapsed="false">
      <c r="A9" s="34" t="n">
        <v>8</v>
      </c>
      <c r="B9" s="34" t="s">
        <v>46</v>
      </c>
      <c r="C9" s="34" t="s">
        <v>612</v>
      </c>
      <c r="D9" s="34" t="s">
        <v>124</v>
      </c>
      <c r="E9" s="34" t="s">
        <v>121</v>
      </c>
      <c r="F9" s="34" t="s">
        <v>631</v>
      </c>
      <c r="G9" s="34" t="s">
        <v>614</v>
      </c>
      <c r="H9" s="34" t="s">
        <v>632</v>
      </c>
    </row>
    <row r="10" customFormat="false" ht="42" hidden="false" customHeight="true" outlineLevel="0" collapsed="false">
      <c r="A10" s="34" t="n">
        <v>9</v>
      </c>
      <c r="B10" s="34" t="s">
        <v>46</v>
      </c>
      <c r="C10" s="34" t="s">
        <v>612</v>
      </c>
      <c r="D10" s="34" t="s">
        <v>132</v>
      </c>
      <c r="E10" s="34" t="s">
        <v>131</v>
      </c>
      <c r="F10" s="34" t="s">
        <v>633</v>
      </c>
      <c r="G10" s="34" t="s">
        <v>614</v>
      </c>
      <c r="H10" s="34" t="s">
        <v>634</v>
      </c>
    </row>
    <row r="11" customFormat="false" ht="42" hidden="false" customHeight="true" outlineLevel="0" collapsed="false">
      <c r="A11" s="34" t="n">
        <v>10</v>
      </c>
      <c r="B11" s="34" t="s">
        <v>46</v>
      </c>
      <c r="C11" s="34" t="s">
        <v>612</v>
      </c>
      <c r="D11" s="34" t="s">
        <v>140</v>
      </c>
      <c r="E11" s="34" t="s">
        <v>138</v>
      </c>
      <c r="F11" s="34" t="s">
        <v>635</v>
      </c>
      <c r="G11" s="34" t="s">
        <v>614</v>
      </c>
      <c r="H11" s="34" t="s">
        <v>636</v>
      </c>
    </row>
    <row r="12" customFormat="false" ht="42" hidden="false" customHeight="true" outlineLevel="0" collapsed="false">
      <c r="A12" s="34" t="n">
        <v>11</v>
      </c>
      <c r="B12" s="34" t="s">
        <v>46</v>
      </c>
      <c r="C12" s="34" t="s">
        <v>612</v>
      </c>
      <c r="D12" s="34" t="s">
        <v>149</v>
      </c>
      <c r="E12" s="34" t="s">
        <v>637</v>
      </c>
      <c r="F12" s="34" t="s">
        <v>638</v>
      </c>
      <c r="G12" s="34" t="s">
        <v>614</v>
      </c>
      <c r="H12" s="34" t="s">
        <v>639</v>
      </c>
    </row>
    <row r="13" customFormat="false" ht="42" hidden="false" customHeight="true" outlineLevel="0" collapsed="false">
      <c r="A13" s="34" t="n">
        <v>12</v>
      </c>
      <c r="B13" s="34" t="s">
        <v>46</v>
      </c>
      <c r="C13" s="34" t="s">
        <v>612</v>
      </c>
      <c r="D13" s="34" t="s">
        <v>155</v>
      </c>
      <c r="E13" s="34" t="s">
        <v>154</v>
      </c>
      <c r="F13" s="34" t="s">
        <v>640</v>
      </c>
      <c r="G13" s="34" t="s">
        <v>614</v>
      </c>
      <c r="H13" s="34" t="s">
        <v>641</v>
      </c>
    </row>
    <row r="14" customFormat="false" ht="42" hidden="false" customHeight="true" outlineLevel="0" collapsed="false">
      <c r="A14" s="34" t="n">
        <v>13</v>
      </c>
      <c r="B14" s="34" t="s">
        <v>46</v>
      </c>
      <c r="C14" s="34" t="s">
        <v>642</v>
      </c>
      <c r="D14" s="34" t="s">
        <v>164</v>
      </c>
      <c r="E14" s="34" t="s">
        <v>643</v>
      </c>
      <c r="F14" s="34" t="s">
        <v>644</v>
      </c>
      <c r="G14" s="34" t="s">
        <v>614</v>
      </c>
      <c r="H14" s="34" t="s">
        <v>645</v>
      </c>
    </row>
    <row r="15" customFormat="false" ht="42" hidden="false" customHeight="true" outlineLevel="0" collapsed="false">
      <c r="A15" s="34" t="n">
        <v>14</v>
      </c>
      <c r="B15" s="34" t="s">
        <v>46</v>
      </c>
      <c r="C15" s="34" t="s">
        <v>612</v>
      </c>
      <c r="D15" s="34" t="s">
        <v>173</v>
      </c>
      <c r="E15" s="34" t="s">
        <v>172</v>
      </c>
      <c r="F15" s="34" t="s">
        <v>646</v>
      </c>
      <c r="G15" s="34" t="s">
        <v>614</v>
      </c>
      <c r="H15" s="34" t="s">
        <v>647</v>
      </c>
    </row>
    <row r="16" customFormat="false" ht="42" hidden="false" customHeight="true" outlineLevel="0" collapsed="false">
      <c r="A16" s="34" t="n">
        <v>15</v>
      </c>
      <c r="B16" s="34" t="s">
        <v>46</v>
      </c>
      <c r="C16" s="34" t="s">
        <v>612</v>
      </c>
      <c r="D16" s="34" t="s">
        <v>181</v>
      </c>
      <c r="E16" s="34" t="s">
        <v>179</v>
      </c>
      <c r="F16" s="34" t="s">
        <v>648</v>
      </c>
      <c r="G16" s="34" t="s">
        <v>614</v>
      </c>
      <c r="H16" s="34" t="s">
        <v>649</v>
      </c>
    </row>
    <row r="17" customFormat="false" ht="42" hidden="false" customHeight="true" outlineLevel="0" collapsed="false">
      <c r="A17" s="34" t="n">
        <v>16</v>
      </c>
      <c r="B17" s="34" t="s">
        <v>46</v>
      </c>
      <c r="C17" s="34" t="s">
        <v>650</v>
      </c>
      <c r="D17" s="34" t="s">
        <v>191</v>
      </c>
      <c r="E17" s="34" t="s">
        <v>189</v>
      </c>
      <c r="F17" s="34" t="s">
        <v>651</v>
      </c>
      <c r="G17" s="34" t="s">
        <v>614</v>
      </c>
      <c r="H17" s="34" t="s">
        <v>652</v>
      </c>
    </row>
    <row r="18" customFormat="false" ht="42" hidden="false" customHeight="true" outlineLevel="0" collapsed="false">
      <c r="A18" s="34" t="n">
        <v>17</v>
      </c>
      <c r="B18" s="34" t="s">
        <v>46</v>
      </c>
      <c r="C18" s="34" t="s">
        <v>612</v>
      </c>
      <c r="D18" s="34" t="s">
        <v>199</v>
      </c>
      <c r="E18" s="34" t="s">
        <v>653</v>
      </c>
      <c r="F18" s="34" t="s">
        <v>654</v>
      </c>
      <c r="G18" s="34" t="s">
        <v>614</v>
      </c>
      <c r="H18" s="34" t="s">
        <v>655</v>
      </c>
    </row>
    <row r="19" customFormat="false" ht="42" hidden="false" customHeight="true" outlineLevel="0" collapsed="false">
      <c r="A19" s="34" t="n">
        <v>18</v>
      </c>
      <c r="B19" s="34" t="s">
        <v>46</v>
      </c>
      <c r="C19" s="34" t="s">
        <v>612</v>
      </c>
      <c r="D19" s="34" t="s">
        <v>208</v>
      </c>
      <c r="E19" s="34" t="s">
        <v>205</v>
      </c>
      <c r="F19" s="34" t="s">
        <v>656</v>
      </c>
      <c r="G19" s="34" t="s">
        <v>614</v>
      </c>
      <c r="H19" s="34" t="s">
        <v>657</v>
      </c>
    </row>
    <row r="20" customFormat="false" ht="42" hidden="false" customHeight="true" outlineLevel="0" collapsed="false">
      <c r="A20" s="34" t="n">
        <v>19</v>
      </c>
      <c r="B20" s="34" t="s">
        <v>46</v>
      </c>
      <c r="C20" s="34" t="s">
        <v>612</v>
      </c>
      <c r="D20" s="34" t="s">
        <v>224</v>
      </c>
      <c r="E20" s="34" t="s">
        <v>658</v>
      </c>
      <c r="F20" s="34" t="s">
        <v>659</v>
      </c>
      <c r="G20" s="34" t="s">
        <v>614</v>
      </c>
      <c r="H20" s="34" t="s">
        <v>660</v>
      </c>
    </row>
    <row r="21" customFormat="false" ht="42" hidden="false" customHeight="true" outlineLevel="0" collapsed="false">
      <c r="A21" s="34" t="n">
        <v>20</v>
      </c>
      <c r="B21" s="34" t="s">
        <v>46</v>
      </c>
      <c r="C21" s="34" t="s">
        <v>612</v>
      </c>
      <c r="D21" s="34" t="s">
        <v>227</v>
      </c>
      <c r="E21" s="34" t="s">
        <v>226</v>
      </c>
      <c r="F21" s="34" t="s">
        <v>661</v>
      </c>
      <c r="G21" s="34" t="s">
        <v>614</v>
      </c>
      <c r="H21" s="34" t="s">
        <v>662</v>
      </c>
    </row>
    <row r="22" customFormat="false" ht="42" hidden="false" customHeight="true" outlineLevel="0" collapsed="false">
      <c r="A22" s="34" t="n">
        <v>21</v>
      </c>
      <c r="B22" s="34" t="s">
        <v>46</v>
      </c>
      <c r="C22" s="34" t="s">
        <v>663</v>
      </c>
      <c r="D22" s="34" t="s">
        <v>664</v>
      </c>
      <c r="E22" s="34" t="s">
        <v>232</v>
      </c>
      <c r="F22" s="34" t="s">
        <v>665</v>
      </c>
      <c r="G22" s="34" t="s">
        <v>614</v>
      </c>
      <c r="H22" s="34" t="s">
        <v>666</v>
      </c>
    </row>
    <row r="23" customFormat="false" ht="42" hidden="false" customHeight="true" outlineLevel="0" collapsed="false">
      <c r="A23" s="34" t="n">
        <v>22</v>
      </c>
      <c r="B23" s="34" t="s">
        <v>46</v>
      </c>
      <c r="C23" s="34" t="s">
        <v>663</v>
      </c>
      <c r="D23" s="34" t="s">
        <v>664</v>
      </c>
      <c r="E23" s="34" t="s">
        <v>241</v>
      </c>
      <c r="F23" s="34" t="s">
        <v>667</v>
      </c>
      <c r="G23" s="34" t="s">
        <v>614</v>
      </c>
      <c r="H23" s="34" t="s">
        <v>668</v>
      </c>
    </row>
    <row r="24" customFormat="false" ht="42" hidden="false" customHeight="true" outlineLevel="0" collapsed="false">
      <c r="A24" s="34" t="n">
        <v>23</v>
      </c>
      <c r="B24" s="34" t="s">
        <v>46</v>
      </c>
      <c r="C24" s="34" t="s">
        <v>669</v>
      </c>
      <c r="D24" s="34" t="s">
        <v>572</v>
      </c>
      <c r="E24" s="34" t="s">
        <v>670</v>
      </c>
      <c r="F24" s="34" t="s">
        <v>671</v>
      </c>
      <c r="G24" s="34" t="s">
        <v>614</v>
      </c>
      <c r="H24" s="34" t="s">
        <v>672</v>
      </c>
    </row>
    <row r="25" customFormat="false" ht="42" hidden="false" customHeight="true" outlineLevel="0" collapsed="false">
      <c r="A25" s="34" t="n">
        <v>24</v>
      </c>
      <c r="B25" s="34" t="s">
        <v>46</v>
      </c>
      <c r="C25" s="34" t="s">
        <v>673</v>
      </c>
      <c r="D25" s="34" t="s">
        <v>674</v>
      </c>
      <c r="E25" s="34" t="s">
        <v>253</v>
      </c>
      <c r="F25" s="34" t="s">
        <v>675</v>
      </c>
      <c r="G25" s="34" t="s">
        <v>614</v>
      </c>
      <c r="H25" s="34" t="s">
        <v>676</v>
      </c>
    </row>
    <row r="26" customFormat="false" ht="42" hidden="false" customHeight="true" outlineLevel="0" collapsed="false">
      <c r="A26" s="9" t="n">
        <v>25</v>
      </c>
      <c r="B26" s="9" t="s">
        <v>46</v>
      </c>
      <c r="C26" s="9" t="s">
        <v>677</v>
      </c>
      <c r="D26" s="9" t="s">
        <v>678</v>
      </c>
      <c r="E26" s="9" t="s">
        <v>679</v>
      </c>
      <c r="F26" s="9" t="s">
        <v>680</v>
      </c>
      <c r="G26" s="9" t="s">
        <v>681</v>
      </c>
      <c r="H26" s="9" t="s">
        <v>682</v>
      </c>
    </row>
    <row r="27" customFormat="false" ht="42" hidden="false" customHeight="true" outlineLevel="0" collapsed="false">
      <c r="A27" s="19" t="n">
        <v>26</v>
      </c>
      <c r="B27" s="19" t="s">
        <v>46</v>
      </c>
      <c r="C27" s="19" t="s">
        <v>669</v>
      </c>
      <c r="D27" s="19" t="s">
        <v>683</v>
      </c>
      <c r="E27" s="19" t="s">
        <v>568</v>
      </c>
      <c r="F27" s="19" t="s">
        <v>684</v>
      </c>
      <c r="G27" s="19" t="s">
        <v>685</v>
      </c>
      <c r="H27" s="19" t="s">
        <v>686</v>
      </c>
    </row>
    <row r="28" customFormat="false" ht="42" hidden="false" customHeight="true" outlineLevel="0" collapsed="false">
      <c r="A28" s="19" t="n">
        <v>27</v>
      </c>
      <c r="B28" s="19" t="s">
        <v>46</v>
      </c>
      <c r="C28" s="19" t="s">
        <v>669</v>
      </c>
      <c r="D28" s="19" t="s">
        <v>683</v>
      </c>
      <c r="E28" s="19" t="s">
        <v>574</v>
      </c>
      <c r="F28" s="19" t="s">
        <v>687</v>
      </c>
      <c r="G28" s="19" t="s">
        <v>685</v>
      </c>
      <c r="H28" s="19" t="s">
        <v>688</v>
      </c>
    </row>
    <row r="29" customFormat="false" ht="34.5" hidden="false" customHeight="true" outlineLevel="0" collapsed="false">
      <c r="A29" s="12" t="s">
        <v>273</v>
      </c>
      <c r="B29" s="12" t="s">
        <v>689</v>
      </c>
      <c r="C29" s="12" t="s">
        <v>690</v>
      </c>
      <c r="D29" s="12" t="s">
        <v>284</v>
      </c>
      <c r="E29" s="12" t="s">
        <v>28</v>
      </c>
      <c r="F29" s="12" t="s">
        <v>275</v>
      </c>
      <c r="G29" s="12" t="s">
        <v>691</v>
      </c>
      <c r="H29" s="12" t="s">
        <v>285</v>
      </c>
    </row>
    <row r="30" customFormat="false" ht="34.5" hidden="false" customHeight="true" outlineLevel="0" collapsed="false">
      <c r="A30" s="14" t="s">
        <v>298</v>
      </c>
      <c r="B30" s="14" t="s">
        <v>692</v>
      </c>
      <c r="C30" s="14" t="s">
        <v>690</v>
      </c>
      <c r="D30" s="14" t="s">
        <v>299</v>
      </c>
      <c r="E30" s="14" t="s">
        <v>28</v>
      </c>
      <c r="F30" s="14" t="s">
        <v>292</v>
      </c>
      <c r="G30" s="14" t="s">
        <v>691</v>
      </c>
      <c r="H30" s="14" t="s">
        <v>285</v>
      </c>
    </row>
    <row r="31" customFormat="false" ht="34.5" hidden="false" customHeight="true" outlineLevel="0" collapsed="false">
      <c r="A31" s="12" t="s">
        <v>305</v>
      </c>
      <c r="B31" s="12" t="s">
        <v>693</v>
      </c>
      <c r="C31" s="12" t="s">
        <v>690</v>
      </c>
      <c r="D31" s="12" t="s">
        <v>315</v>
      </c>
      <c r="E31" s="12" t="s">
        <v>28</v>
      </c>
      <c r="F31" s="12" t="s">
        <v>90</v>
      </c>
      <c r="G31" s="12" t="s">
        <v>691</v>
      </c>
      <c r="H31" s="12" t="s">
        <v>285</v>
      </c>
    </row>
    <row r="32" customFormat="false" ht="34.5" hidden="false" customHeight="true" outlineLevel="0" collapsed="false">
      <c r="A32" s="14" t="s">
        <v>326</v>
      </c>
      <c r="B32" s="14" t="s">
        <v>694</v>
      </c>
      <c r="C32" s="14" t="s">
        <v>690</v>
      </c>
      <c r="D32" s="14" t="s">
        <v>327</v>
      </c>
      <c r="E32" s="14" t="s">
        <v>28</v>
      </c>
      <c r="F32" s="14" t="s">
        <v>193</v>
      </c>
      <c r="G32" s="14" t="s">
        <v>691</v>
      </c>
      <c r="H32" s="14" t="s">
        <v>285</v>
      </c>
    </row>
    <row r="33" customFormat="false" ht="34.5" hidden="false" customHeight="true" outlineLevel="0" collapsed="false">
      <c r="A33" s="12" t="s">
        <v>338</v>
      </c>
      <c r="B33" s="12" t="s">
        <v>695</v>
      </c>
      <c r="C33" s="12" t="s">
        <v>690</v>
      </c>
      <c r="D33" s="12" t="s">
        <v>339</v>
      </c>
      <c r="E33" s="12" t="s">
        <v>28</v>
      </c>
      <c r="F33" s="12" t="s">
        <v>193</v>
      </c>
      <c r="G33" s="12" t="s">
        <v>691</v>
      </c>
      <c r="H33" s="12" t="s">
        <v>285</v>
      </c>
    </row>
    <row r="34" customFormat="false" ht="34.5" hidden="false" customHeight="true" outlineLevel="0" collapsed="false">
      <c r="A34" s="14" t="s">
        <v>348</v>
      </c>
      <c r="B34" s="14" t="s">
        <v>696</v>
      </c>
      <c r="C34" s="14" t="s">
        <v>690</v>
      </c>
      <c r="D34" s="14" t="s">
        <v>349</v>
      </c>
      <c r="E34" s="14" t="s">
        <v>28</v>
      </c>
      <c r="F34" s="14" t="s">
        <v>193</v>
      </c>
      <c r="G34" s="14" t="s">
        <v>691</v>
      </c>
      <c r="H34" s="14" t="s">
        <v>285</v>
      </c>
    </row>
    <row r="35" customFormat="false" ht="34.5" hidden="false" customHeight="true" outlineLevel="0" collapsed="false">
      <c r="A35" s="12" t="s">
        <v>363</v>
      </c>
      <c r="B35" s="12" t="s">
        <v>697</v>
      </c>
      <c r="C35" s="12" t="s">
        <v>690</v>
      </c>
      <c r="D35" s="12" t="s">
        <v>364</v>
      </c>
      <c r="E35" s="12" t="s">
        <v>28</v>
      </c>
      <c r="F35" s="12" t="s">
        <v>357</v>
      </c>
      <c r="G35" s="12" t="s">
        <v>691</v>
      </c>
      <c r="H35" s="12" t="s">
        <v>285</v>
      </c>
    </row>
    <row r="36" customFormat="false" ht="34.5" hidden="false" customHeight="true" outlineLevel="0" collapsed="false">
      <c r="A36" s="14" t="s">
        <v>376</v>
      </c>
      <c r="B36" s="14" t="s">
        <v>698</v>
      </c>
      <c r="C36" s="14" t="s">
        <v>690</v>
      </c>
      <c r="D36" s="14" t="s">
        <v>377</v>
      </c>
      <c r="E36" s="14" t="s">
        <v>28</v>
      </c>
      <c r="F36" s="14" t="s">
        <v>193</v>
      </c>
      <c r="G36" s="14" t="s">
        <v>691</v>
      </c>
      <c r="H36" s="14" t="s">
        <v>285</v>
      </c>
    </row>
    <row r="37" customFormat="false" ht="34.5" hidden="false" customHeight="true" outlineLevel="0" collapsed="false">
      <c r="A37" s="12" t="s">
        <v>387</v>
      </c>
      <c r="B37" s="12" t="s">
        <v>699</v>
      </c>
      <c r="C37" s="12" t="s">
        <v>690</v>
      </c>
      <c r="D37" s="12" t="s">
        <v>388</v>
      </c>
      <c r="E37" s="12" t="s">
        <v>28</v>
      </c>
      <c r="F37" s="12" t="s">
        <v>193</v>
      </c>
      <c r="G37" s="12" t="s">
        <v>691</v>
      </c>
      <c r="H37" s="12" t="s">
        <v>285</v>
      </c>
    </row>
    <row r="38" customFormat="false" ht="34.5" hidden="false" customHeight="true" outlineLevel="0" collapsed="false">
      <c r="A38" s="14" t="s">
        <v>394</v>
      </c>
      <c r="B38" s="14" t="s">
        <v>700</v>
      </c>
      <c r="C38" s="14" t="s">
        <v>690</v>
      </c>
      <c r="D38" s="14" t="s">
        <v>402</v>
      </c>
      <c r="E38" s="14" t="s">
        <v>28</v>
      </c>
      <c r="F38" s="14" t="s">
        <v>193</v>
      </c>
      <c r="G38" s="14" t="s">
        <v>691</v>
      </c>
      <c r="H38" s="14" t="s">
        <v>285</v>
      </c>
    </row>
    <row r="39" customFormat="false" ht="34.5" hidden="false" customHeight="true" outlineLevel="0" collapsed="false">
      <c r="A39" s="12" t="s">
        <v>411</v>
      </c>
      <c r="B39" s="12" t="s">
        <v>701</v>
      </c>
      <c r="C39" s="12" t="s">
        <v>690</v>
      </c>
      <c r="D39" s="12" t="s">
        <v>412</v>
      </c>
      <c r="E39" s="12" t="s">
        <v>28</v>
      </c>
      <c r="F39" s="12" t="s">
        <v>193</v>
      </c>
      <c r="G39" s="12" t="s">
        <v>691</v>
      </c>
      <c r="H39" s="12" t="s">
        <v>285</v>
      </c>
    </row>
    <row r="40" customFormat="false" ht="34.5" hidden="false" customHeight="true" outlineLevel="0" collapsed="false">
      <c r="A40" s="14" t="s">
        <v>421</v>
      </c>
      <c r="B40" s="14" t="s">
        <v>702</v>
      </c>
      <c r="C40" s="14" t="s">
        <v>690</v>
      </c>
      <c r="D40" s="14" t="s">
        <v>422</v>
      </c>
      <c r="E40" s="14" t="s">
        <v>28</v>
      </c>
      <c r="F40" s="14" t="s">
        <v>193</v>
      </c>
      <c r="G40" s="14" t="s">
        <v>691</v>
      </c>
      <c r="H40" s="14" t="s">
        <v>285</v>
      </c>
    </row>
    <row r="41" customFormat="false" ht="34.5" hidden="false" customHeight="true" outlineLevel="0" collapsed="false">
      <c r="A41" s="12" t="s">
        <v>430</v>
      </c>
      <c r="B41" s="12" t="s">
        <v>703</v>
      </c>
      <c r="C41" s="12" t="s">
        <v>690</v>
      </c>
      <c r="D41" s="12" t="s">
        <v>431</v>
      </c>
      <c r="E41" s="12" t="s">
        <v>28</v>
      </c>
      <c r="F41" s="12" t="s">
        <v>90</v>
      </c>
      <c r="G41" s="12" t="s">
        <v>691</v>
      </c>
      <c r="H41" s="12" t="s">
        <v>285</v>
      </c>
    </row>
    <row r="42" customFormat="false" ht="34.5" hidden="false" customHeight="true" outlineLevel="0" collapsed="false">
      <c r="A42" s="14" t="s">
        <v>443</v>
      </c>
      <c r="B42" s="14" t="s">
        <v>704</v>
      </c>
      <c r="C42" s="14" t="s">
        <v>690</v>
      </c>
      <c r="D42" s="14" t="s">
        <v>444</v>
      </c>
      <c r="E42" s="14" t="s">
        <v>28</v>
      </c>
      <c r="F42" s="14" t="s">
        <v>90</v>
      </c>
      <c r="G42" s="14" t="s">
        <v>691</v>
      </c>
      <c r="H42" s="14" t="s">
        <v>285</v>
      </c>
    </row>
    <row r="43" customFormat="false" ht="34.5" hidden="false" customHeight="true" outlineLevel="0" collapsed="false">
      <c r="A43" s="12" t="s">
        <v>455</v>
      </c>
      <c r="B43" s="12" t="s">
        <v>705</v>
      </c>
      <c r="C43" s="12" t="s">
        <v>690</v>
      </c>
      <c r="D43" s="12" t="s">
        <v>456</v>
      </c>
      <c r="E43" s="12" t="s">
        <v>28</v>
      </c>
      <c r="F43" s="12" t="s">
        <v>90</v>
      </c>
      <c r="G43" s="12" t="s">
        <v>691</v>
      </c>
      <c r="H43" s="12" t="s">
        <v>285</v>
      </c>
    </row>
    <row r="44" customFormat="false" ht="34.5" hidden="false" customHeight="true" outlineLevel="0" collapsed="false">
      <c r="A44" s="14" t="s">
        <v>469</v>
      </c>
      <c r="B44" s="14" t="s">
        <v>706</v>
      </c>
      <c r="C44" s="14" t="s">
        <v>690</v>
      </c>
      <c r="D44" s="14" t="s">
        <v>470</v>
      </c>
      <c r="E44" s="14" t="s">
        <v>28</v>
      </c>
      <c r="F44" s="14" t="s">
        <v>183</v>
      </c>
      <c r="G44" s="14" t="s">
        <v>691</v>
      </c>
      <c r="H44" s="14" t="s">
        <v>285</v>
      </c>
    </row>
    <row r="45" customFormat="false" ht="34.5" hidden="false" customHeight="true" outlineLevel="0" collapsed="false">
      <c r="A45" s="12" t="s">
        <v>479</v>
      </c>
      <c r="B45" s="12" t="s">
        <v>707</v>
      </c>
      <c r="C45" s="12" t="s">
        <v>690</v>
      </c>
      <c r="D45" s="12" t="s">
        <v>480</v>
      </c>
      <c r="E45" s="12" t="s">
        <v>28</v>
      </c>
      <c r="F45" s="12" t="s">
        <v>476</v>
      </c>
      <c r="G45" s="12" t="s">
        <v>691</v>
      </c>
      <c r="H45" s="12" t="s">
        <v>285</v>
      </c>
    </row>
    <row r="46" customFormat="false" ht="34.5" hidden="false" customHeight="true" outlineLevel="0" collapsed="false">
      <c r="A46" s="14" t="s">
        <v>489</v>
      </c>
      <c r="B46" s="14" t="s">
        <v>708</v>
      </c>
      <c r="C46" s="14" t="s">
        <v>690</v>
      </c>
      <c r="D46" s="14" t="s">
        <v>490</v>
      </c>
      <c r="E46" s="14" t="s">
        <v>28</v>
      </c>
      <c r="F46" s="14" t="s">
        <v>235</v>
      </c>
      <c r="G46" s="14" t="s">
        <v>691</v>
      </c>
      <c r="H46" s="14" t="s">
        <v>285</v>
      </c>
    </row>
    <row r="47" customFormat="false" ht="34.5" hidden="false" customHeight="true" outlineLevel="0" collapsed="false">
      <c r="A47" s="12" t="s">
        <v>502</v>
      </c>
      <c r="B47" s="12" t="s">
        <v>709</v>
      </c>
      <c r="C47" s="12" t="s">
        <v>690</v>
      </c>
      <c r="D47" s="12" t="s">
        <v>503</v>
      </c>
      <c r="E47" s="12" t="s">
        <v>28</v>
      </c>
      <c r="F47" s="12" t="s">
        <v>235</v>
      </c>
      <c r="G47" s="12" t="s">
        <v>691</v>
      </c>
      <c r="H47" s="12" t="s">
        <v>285</v>
      </c>
    </row>
    <row r="48" customFormat="false" ht="34.5" hidden="false" customHeight="true" outlineLevel="0" collapsed="false">
      <c r="A48" s="14" t="s">
        <v>511</v>
      </c>
      <c r="B48" s="14" t="s">
        <v>710</v>
      </c>
      <c r="C48" s="14" t="s">
        <v>690</v>
      </c>
      <c r="D48" s="14" t="s">
        <v>512</v>
      </c>
      <c r="E48" s="14" t="s">
        <v>28</v>
      </c>
      <c r="F48" s="14" t="s">
        <v>126</v>
      </c>
      <c r="G48" s="14" t="s">
        <v>691</v>
      </c>
      <c r="H48" s="14" t="s">
        <v>285</v>
      </c>
    </row>
    <row r="49" customFormat="false" ht="34.5" hidden="false" customHeight="true" outlineLevel="0" collapsed="false">
      <c r="A49" s="12" t="s">
        <v>521</v>
      </c>
      <c r="B49" s="12" t="s">
        <v>711</v>
      </c>
      <c r="C49" s="12" t="s">
        <v>690</v>
      </c>
      <c r="D49" s="12" t="s">
        <v>522</v>
      </c>
      <c r="E49" s="12" t="s">
        <v>28</v>
      </c>
      <c r="F49" s="12" t="s">
        <v>193</v>
      </c>
      <c r="G49" s="12" t="s">
        <v>691</v>
      </c>
      <c r="H49" s="12" t="s">
        <v>285</v>
      </c>
    </row>
    <row r="50" customFormat="false" ht="34.5" hidden="false" customHeight="true" outlineLevel="0" collapsed="false">
      <c r="A50" s="14" t="s">
        <v>528</v>
      </c>
      <c r="B50" s="14" t="s">
        <v>712</v>
      </c>
      <c r="C50" s="14" t="s">
        <v>690</v>
      </c>
      <c r="D50" s="14" t="s">
        <v>540</v>
      </c>
      <c r="E50" s="14" t="s">
        <v>28</v>
      </c>
      <c r="F50" s="14" t="s">
        <v>532</v>
      </c>
      <c r="G50" s="14" t="s">
        <v>691</v>
      </c>
      <c r="H50" s="14" t="s">
        <v>285</v>
      </c>
    </row>
    <row r="51" customFormat="false" ht="34.5" hidden="false" customHeight="true" outlineLevel="0" collapsed="false">
      <c r="A51" s="12" t="s">
        <v>549</v>
      </c>
      <c r="B51" s="12" t="s">
        <v>713</v>
      </c>
      <c r="C51" s="12" t="s">
        <v>690</v>
      </c>
      <c r="D51" s="12" t="s">
        <v>550</v>
      </c>
      <c r="E51" s="12" t="s">
        <v>262</v>
      </c>
      <c r="F51" s="12" t="s">
        <v>545</v>
      </c>
      <c r="G51" s="12" t="s">
        <v>691</v>
      </c>
      <c r="H51" s="12" t="s">
        <v>285</v>
      </c>
    </row>
    <row r="52" customFormat="false" ht="34.5" hidden="false" customHeight="true" outlineLevel="0" collapsed="false">
      <c r="A52" s="14" t="s">
        <v>555</v>
      </c>
      <c r="B52" s="14" t="s">
        <v>714</v>
      </c>
      <c r="C52" s="14" t="s">
        <v>690</v>
      </c>
      <c r="D52" s="14" t="s">
        <v>556</v>
      </c>
      <c r="E52" s="14" t="s">
        <v>262</v>
      </c>
      <c r="F52" s="14" t="s">
        <v>193</v>
      </c>
      <c r="G52" s="14" t="s">
        <v>691</v>
      </c>
      <c r="H52" s="14" t="s">
        <v>285</v>
      </c>
    </row>
    <row r="53" customFormat="false" ht="34.5" hidden="false" customHeight="true" outlineLevel="0" collapsed="false">
      <c r="A53" s="12" t="s">
        <v>565</v>
      </c>
      <c r="B53" s="12" t="s">
        <v>715</v>
      </c>
      <c r="C53" s="12" t="s">
        <v>690</v>
      </c>
      <c r="D53" s="12" t="s">
        <v>566</v>
      </c>
      <c r="E53" s="12" t="s">
        <v>262</v>
      </c>
      <c r="F53" s="12" t="s">
        <v>90</v>
      </c>
      <c r="G53" s="12" t="s">
        <v>691</v>
      </c>
      <c r="H53" s="12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2026-05-27T18:04:55Z</dcterms:created>
  <dc:creator>openpyxl</dc:creator>
  <dc:description/>
  <dc:language>en-US</dc:language>
  <cp:lastModifiedBy/>
  <dcterms:modified xsi:type="dcterms:W3CDTF">2026-05-27T18:14:03Z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